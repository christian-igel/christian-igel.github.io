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1" codeName="{51196F13-6AD0-C1B8-E2B4-A1F9AE17003E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/Users/igel/Texte/Web/christian-igel.github.io/docs/"/>
    </mc:Choice>
  </mc:AlternateContent>
  <xr:revisionPtr revIDLastSave="0" documentId="8_{DD0B23E7-BD02-774B-90ED-6809071ABD83}" xr6:coauthVersionLast="47" xr6:coauthVersionMax="47" xr10:uidLastSave="{00000000-0000-0000-0000-000000000000}"/>
  <workbookProtection workbookAlgorithmName="SHA-512" workbookHashValue="wwUcba6BsMTAFzCD2oDQZsi/uqmViEJD30zqcLzXeBRUeQ/MLZbwo40MoUHgFcHf9s6AuWHYplpdx9COoZOUiw==" workbookSaltValue="McDdzl/ucrD0wcT+L3LQ7Q==" workbookSpinCount="100000" lockStructure="1"/>
  <bookViews>
    <workbookView xWindow="9360" yWindow="960" windowWidth="31380" windowHeight="27480" xr2:uid="{00000000-000D-0000-FFFF-FFFF00000000}"/>
  </bookViews>
  <sheets>
    <sheet name="Form" sheetId="1" r:id="rId1"/>
    <sheet name="Data" sheetId="3" state="hidden" r:id="rId2"/>
  </sheets>
  <definedNames>
    <definedName name="Allcountries">Tabel2[Country Code]</definedName>
    <definedName name="Banklocation">Form!$E$23</definedName>
    <definedName name="Birthyear">Data!$K$2:$K$102</definedName>
    <definedName name="Breakfastnumber">Form!$T$60</definedName>
    <definedName name="Country_Code">Tabel2[Country Code]</definedName>
    <definedName name="Countrylist">Data!$A$2:$A$204</definedName>
    <definedName name="Countryresidence">Form!$E$21</definedName>
    <definedName name="Countryvisit">Form!$M$48</definedName>
    <definedName name="Currencies">Data!$P$2:$P$13</definedName>
    <definedName name="Day">Data!$I$2:$I$33</definedName>
    <definedName name="Depday">Form!$E$51</definedName>
    <definedName name="Dephou">Form!$J$51</definedName>
    <definedName name="Depmin">Form!$K$51</definedName>
    <definedName name="Depmon">Form!$F$51</definedName>
    <definedName name="Depyea">Form!$G$51</definedName>
    <definedName name="Dinnernumber">Form!$T$62</definedName>
    <definedName name="Hour">Data!$M$2:$M$26</definedName>
    <definedName name="kmrate">Data!$O$1:$O$2</definedName>
    <definedName name="Lunchnumber">Form!$T$61</definedName>
    <definedName name="Mealreduc">Data!$P$17:$Q$20</definedName>
    <definedName name="Minute">Data!$N$2:$N$6</definedName>
    <definedName name="Month">Data!$J$2:$J$14</definedName>
    <definedName name="_xlnm.Print_Area" localSheetId="0">Form!$A$1:$AG$113</definedName>
    <definedName name="Reducrate">Data!$O$8</definedName>
    <definedName name="Retday">Form!$P$51</definedName>
    <definedName name="Rethou">Form!$U$51</definedName>
    <definedName name="Retmin">Form!$V$51</definedName>
    <definedName name="Retmon">Form!$Q$51</definedName>
    <definedName name="Retyea">Form!$R$51</definedName>
    <definedName name="tdornot">Data!$P$23:$P$23</definedName>
    <definedName name="Travelyear">Data!$L$2:$L$8</definedName>
    <definedName name="Tripduration">Form!$AA$51</definedName>
    <definedName name="Udoknat">Data!$O$4:$O$5</definedName>
    <definedName name="Undeclared">Form!$N$56</definedName>
    <definedName name="Valutakurser">Data!$R$1:$T$12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26" i="1" l="1"/>
  <c r="U108" i="1" l="1"/>
  <c r="U109" i="1"/>
  <c r="U110" i="1"/>
  <c r="U111" i="1"/>
  <c r="U107" i="1"/>
  <c r="AJ21" i="1" l="1"/>
  <c r="AJ19" i="1" l="1"/>
  <c r="O48" i="1" l="1"/>
  <c r="Z91" i="1" l="1"/>
  <c r="Z90" i="1"/>
  <c r="Z93" i="1" l="1"/>
  <c r="AI23" i="1" l="1"/>
  <c r="AD101" i="1" s="1"/>
  <c r="AJ23" i="1"/>
  <c r="G23" i="1"/>
  <c r="AD73" i="1" l="1"/>
  <c r="AD86" i="1"/>
  <c r="Z89" i="1"/>
  <c r="AK106" i="1" l="1"/>
  <c r="AJ106" i="1"/>
  <c r="N106" i="1" l="1"/>
  <c r="AJ48" i="1"/>
  <c r="Z88" i="1" s="1"/>
  <c r="G62" i="3"/>
  <c r="G48" i="3"/>
  <c r="AB13" i="1" l="1"/>
  <c r="AB75" i="1"/>
  <c r="AD75" i="1" s="1"/>
  <c r="AB76" i="1"/>
  <c r="AB77" i="1"/>
  <c r="AB78" i="1"/>
  <c r="AB79" i="1"/>
  <c r="AB80" i="1"/>
  <c r="AB81" i="1"/>
  <c r="AD78" i="1" l="1"/>
  <c r="AD81" i="1"/>
  <c r="AD77" i="1"/>
  <c r="AD80" i="1"/>
  <c r="AD76" i="1"/>
  <c r="AD79" i="1"/>
  <c r="AK51" i="1" l="1"/>
  <c r="AI6" i="1" l="1"/>
  <c r="X88" i="1" l="1"/>
  <c r="X91" i="1"/>
  <c r="X89" i="1"/>
  <c r="X90" i="1"/>
  <c r="AI13" i="1" l="1"/>
  <c r="AB95" i="1" s="1"/>
  <c r="AD95" i="1" s="1"/>
  <c r="N112" i="1" s="1"/>
  <c r="AI74" i="1"/>
  <c r="AB74" i="1" l="1"/>
  <c r="AD74" i="1" s="1"/>
  <c r="G21" i="1"/>
  <c r="E90" i="1"/>
  <c r="E91" i="1"/>
  <c r="E89" i="1"/>
  <c r="X92" i="1" l="1"/>
  <c r="X93" i="1"/>
  <c r="B92" i="1"/>
  <c r="B93" i="1"/>
  <c r="B94" i="1"/>
  <c r="Z58" i="1"/>
  <c r="AI51" i="1"/>
  <c r="AI75" i="1"/>
  <c r="AI76" i="1"/>
  <c r="AI77" i="1"/>
  <c r="AI78" i="1"/>
  <c r="AI79" i="1"/>
  <c r="AI80" i="1"/>
  <c r="AI81" i="1"/>
  <c r="X94" i="1" l="1"/>
  <c r="Z94" i="1"/>
  <c r="AL51" i="1"/>
  <c r="AA51" i="1" s="1"/>
  <c r="AB93" i="1"/>
  <c r="AD93" i="1" s="1"/>
  <c r="AB82" i="1"/>
  <c r="AB96" i="1" s="1"/>
  <c r="AD96" i="1" s="1"/>
  <c r="Q31" i="1"/>
  <c r="AB94" i="1" l="1"/>
  <c r="AD94" i="1" s="1"/>
  <c r="AB88" i="1"/>
  <c r="AD88" i="1" s="1"/>
  <c r="X87" i="1"/>
  <c r="AD82" i="1"/>
  <c r="Z87" i="1" l="1"/>
  <c r="AB87" i="1" l="1"/>
  <c r="AD87" i="1" s="1"/>
  <c r="Z92" i="1"/>
  <c r="AB92" i="1" s="1"/>
  <c r="AD92" i="1" s="1"/>
  <c r="AB89" i="1"/>
  <c r="AD89" i="1" s="1"/>
  <c r="AB90" i="1"/>
  <c r="AD90" i="1" s="1"/>
  <c r="AB91" i="1"/>
  <c r="AD91" i="1" s="1"/>
  <c r="AD97" i="1" l="1"/>
  <c r="AD102" i="1" s="1"/>
  <c r="U112" i="1" s="1"/>
  <c r="AB97" i="1"/>
  <c r="AB102" i="1" s="1"/>
</calcChain>
</file>

<file path=xl/sharedStrings.xml><?xml version="1.0" encoding="utf-8"?>
<sst xmlns="http://schemas.openxmlformats.org/spreadsheetml/2006/main" count="1010" uniqueCount="682">
  <si>
    <t>SWIFT</t>
  </si>
  <si>
    <t>IBAN</t>
  </si>
  <si>
    <t>Country</t>
  </si>
  <si>
    <t>Bank name</t>
  </si>
  <si>
    <t>Account number</t>
  </si>
  <si>
    <t>Routing number</t>
  </si>
  <si>
    <t xml:space="preserve">Afghanistan </t>
  </si>
  <si>
    <t xml:space="preserve">Albania </t>
  </si>
  <si>
    <t xml:space="preserve">Algeria </t>
  </si>
  <si>
    <t xml:space="preserve">Andorra </t>
  </si>
  <si>
    <t xml:space="preserve">Angola </t>
  </si>
  <si>
    <t xml:space="preserve">Antigua and Barbuda </t>
  </si>
  <si>
    <t xml:space="preserve">Argentina </t>
  </si>
  <si>
    <t xml:space="preserve">Armenia </t>
  </si>
  <si>
    <t xml:space="preserve">Australia </t>
  </si>
  <si>
    <t xml:space="preserve">Austria </t>
  </si>
  <si>
    <t xml:space="preserve">Azerbaijan </t>
  </si>
  <si>
    <t xml:space="preserve">Bahamas </t>
  </si>
  <si>
    <t xml:space="preserve">Bahrain </t>
  </si>
  <si>
    <t xml:space="preserve">Bangladesh </t>
  </si>
  <si>
    <t xml:space="preserve">Barbados </t>
  </si>
  <si>
    <t xml:space="preserve">Belarus </t>
  </si>
  <si>
    <t xml:space="preserve">Belgium </t>
  </si>
  <si>
    <t xml:space="preserve">Belize </t>
  </si>
  <si>
    <t xml:space="preserve">Benin </t>
  </si>
  <si>
    <t xml:space="preserve">Bhutan </t>
  </si>
  <si>
    <t xml:space="preserve">Bosnia and Herzegovina </t>
  </si>
  <si>
    <t xml:space="preserve">Botswana </t>
  </si>
  <si>
    <t xml:space="preserve">Brazil </t>
  </si>
  <si>
    <t xml:space="preserve">Brunei Darussalam </t>
  </si>
  <si>
    <t xml:space="preserve">Bulgaria </t>
  </si>
  <si>
    <t xml:space="preserve">Burkina Faso </t>
  </si>
  <si>
    <t xml:space="preserve">Burundi </t>
  </si>
  <si>
    <t xml:space="preserve">Cambodia </t>
  </si>
  <si>
    <t xml:space="preserve">Cameroon </t>
  </si>
  <si>
    <t xml:space="preserve">Canada </t>
  </si>
  <si>
    <t xml:space="preserve">Cabo Verde </t>
  </si>
  <si>
    <t xml:space="preserve">Central African Republic </t>
  </si>
  <si>
    <t xml:space="preserve">Chad </t>
  </si>
  <si>
    <t xml:space="preserve">Chile </t>
  </si>
  <si>
    <t xml:space="preserve">China </t>
  </si>
  <si>
    <t xml:space="preserve">Colombia </t>
  </si>
  <si>
    <t xml:space="preserve">Comoros </t>
  </si>
  <si>
    <t xml:space="preserve">Congo </t>
  </si>
  <si>
    <t xml:space="preserve">Costa Rica </t>
  </si>
  <si>
    <t xml:space="preserve">Côte d'Ivoire </t>
  </si>
  <si>
    <t xml:space="preserve">Croatia </t>
  </si>
  <si>
    <t xml:space="preserve">Cuba </t>
  </si>
  <si>
    <t xml:space="preserve">Cyprus </t>
  </si>
  <si>
    <t xml:space="preserve">Czech Republic </t>
  </si>
  <si>
    <t xml:space="preserve">Denmark </t>
  </si>
  <si>
    <t xml:space="preserve">Djibouti </t>
  </si>
  <si>
    <t xml:space="preserve">Dominica </t>
  </si>
  <si>
    <t xml:space="preserve">Dominican Republic </t>
  </si>
  <si>
    <t xml:space="preserve">Ecuador </t>
  </si>
  <si>
    <t xml:space="preserve">Egypt </t>
  </si>
  <si>
    <t xml:space="preserve">El Salvador </t>
  </si>
  <si>
    <t xml:space="preserve">Equatorial Guinea </t>
  </si>
  <si>
    <t xml:space="preserve">Eritrea </t>
  </si>
  <si>
    <t xml:space="preserve">Estonia </t>
  </si>
  <si>
    <t xml:space="preserve">Ethiopia </t>
  </si>
  <si>
    <t xml:space="preserve">Faroe Islands </t>
  </si>
  <si>
    <t xml:space="preserve">Fiji </t>
  </si>
  <si>
    <t xml:space="preserve">Finland </t>
  </si>
  <si>
    <t xml:space="preserve">France </t>
  </si>
  <si>
    <t xml:space="preserve">Gabon </t>
  </si>
  <si>
    <t xml:space="preserve">Gambia </t>
  </si>
  <si>
    <t xml:space="preserve">Georgia </t>
  </si>
  <si>
    <t xml:space="preserve">Germany </t>
  </si>
  <si>
    <t xml:space="preserve">Ghana </t>
  </si>
  <si>
    <t xml:space="preserve">Greece </t>
  </si>
  <si>
    <t xml:space="preserve">Greenland </t>
  </si>
  <si>
    <t xml:space="preserve">Grenada </t>
  </si>
  <si>
    <t xml:space="preserve">Guatemala </t>
  </si>
  <si>
    <t xml:space="preserve">Guinea </t>
  </si>
  <si>
    <t xml:space="preserve">Guinea-Bissau </t>
  </si>
  <si>
    <t xml:space="preserve">Guyana </t>
  </si>
  <si>
    <t xml:space="preserve">Haiti </t>
  </si>
  <si>
    <t xml:space="preserve">Honduras </t>
  </si>
  <si>
    <t xml:space="preserve">Hong Kong </t>
  </si>
  <si>
    <t xml:space="preserve">Hungary </t>
  </si>
  <si>
    <t xml:space="preserve">Iceland </t>
  </si>
  <si>
    <t xml:space="preserve">India </t>
  </si>
  <si>
    <t xml:space="preserve">Indonesia </t>
  </si>
  <si>
    <t xml:space="preserve">Iraq </t>
  </si>
  <si>
    <t xml:space="preserve">Ireland </t>
  </si>
  <si>
    <t xml:space="preserve">Israel </t>
  </si>
  <si>
    <t xml:space="preserve">Italy </t>
  </si>
  <si>
    <t xml:space="preserve">Jamaica </t>
  </si>
  <si>
    <t xml:space="preserve">Japan </t>
  </si>
  <si>
    <t xml:space="preserve">Jordan </t>
  </si>
  <si>
    <t xml:space="preserve">Kazakhstan </t>
  </si>
  <si>
    <t xml:space="preserve">Kenya </t>
  </si>
  <si>
    <t xml:space="preserve">Kiribati </t>
  </si>
  <si>
    <t xml:space="preserve">Kuwait </t>
  </si>
  <si>
    <t xml:space="preserve">Kyrgyzstan </t>
  </si>
  <si>
    <t xml:space="preserve">Latvia </t>
  </si>
  <si>
    <t xml:space="preserve">Lebanon </t>
  </si>
  <si>
    <t xml:space="preserve">Lesotho </t>
  </si>
  <si>
    <t xml:space="preserve">Liberia </t>
  </si>
  <si>
    <t xml:space="preserve">Libya </t>
  </si>
  <si>
    <t xml:space="preserve">Liechtenstein </t>
  </si>
  <si>
    <t xml:space="preserve">Lithuania </t>
  </si>
  <si>
    <t xml:space="preserve">Luxembourg </t>
  </si>
  <si>
    <t xml:space="preserve">Macao </t>
  </si>
  <si>
    <t xml:space="preserve">Madagascar </t>
  </si>
  <si>
    <t xml:space="preserve">Malawi </t>
  </si>
  <si>
    <t xml:space="preserve">Malaysia </t>
  </si>
  <si>
    <t xml:space="preserve">Maldives </t>
  </si>
  <si>
    <t xml:space="preserve">Mali </t>
  </si>
  <si>
    <t xml:space="preserve">Malta </t>
  </si>
  <si>
    <t xml:space="preserve">Marshall Islands </t>
  </si>
  <si>
    <t xml:space="preserve">Mauritania </t>
  </si>
  <si>
    <t xml:space="preserve">Mauritius </t>
  </si>
  <si>
    <t xml:space="preserve">Mexico </t>
  </si>
  <si>
    <t xml:space="preserve">Monaco </t>
  </si>
  <si>
    <t xml:space="preserve">Mongolia </t>
  </si>
  <si>
    <t xml:space="preserve">Montenegro </t>
  </si>
  <si>
    <t xml:space="preserve">Morocco </t>
  </si>
  <si>
    <t xml:space="preserve">Mozambique </t>
  </si>
  <si>
    <t xml:space="preserve">Myanmar </t>
  </si>
  <si>
    <t xml:space="preserve">Namibia </t>
  </si>
  <si>
    <t xml:space="preserve">Nauru </t>
  </si>
  <si>
    <t xml:space="preserve">Nepal </t>
  </si>
  <si>
    <t xml:space="preserve">Netherlands </t>
  </si>
  <si>
    <t xml:space="preserve">New Zealand </t>
  </si>
  <si>
    <t xml:space="preserve">Nicaragua </t>
  </si>
  <si>
    <t xml:space="preserve">Niger </t>
  </si>
  <si>
    <t xml:space="preserve">Nigeria </t>
  </si>
  <si>
    <t xml:space="preserve">Norway </t>
  </si>
  <si>
    <t xml:space="preserve">Oman </t>
  </si>
  <si>
    <t xml:space="preserve">Pakistan </t>
  </si>
  <si>
    <t xml:space="preserve">Palau </t>
  </si>
  <si>
    <t xml:space="preserve">Panama </t>
  </si>
  <si>
    <t xml:space="preserve">Papua New Guinea </t>
  </si>
  <si>
    <t xml:space="preserve">Paraguay </t>
  </si>
  <si>
    <t xml:space="preserve">Peru </t>
  </si>
  <si>
    <t xml:space="preserve">Philippines </t>
  </si>
  <si>
    <t xml:space="preserve">Poland </t>
  </si>
  <si>
    <t xml:space="preserve">Portugal </t>
  </si>
  <si>
    <t xml:space="preserve">Qatar </t>
  </si>
  <si>
    <t xml:space="preserve">Romania </t>
  </si>
  <si>
    <t xml:space="preserve">Rwanda </t>
  </si>
  <si>
    <t xml:space="preserve">Saint Kitts and Nevis </t>
  </si>
  <si>
    <t xml:space="preserve">Saint Lucia </t>
  </si>
  <si>
    <t xml:space="preserve">Saint Vincent and the Grenadines </t>
  </si>
  <si>
    <t xml:space="preserve">Samoa </t>
  </si>
  <si>
    <t xml:space="preserve">San Marino </t>
  </si>
  <si>
    <t xml:space="preserve">Sao Tome and Principe </t>
  </si>
  <si>
    <t xml:space="preserve">Saudi Arabia </t>
  </si>
  <si>
    <t xml:space="preserve">Senegal </t>
  </si>
  <si>
    <t xml:space="preserve">Serbia </t>
  </si>
  <si>
    <t xml:space="preserve">Seychelles </t>
  </si>
  <si>
    <t xml:space="preserve">Sierra Leone </t>
  </si>
  <si>
    <t xml:space="preserve">Singapore </t>
  </si>
  <si>
    <t xml:space="preserve">Slovakia </t>
  </si>
  <si>
    <t xml:space="preserve">Slovenia </t>
  </si>
  <si>
    <t xml:space="preserve">Solomon Islands </t>
  </si>
  <si>
    <t xml:space="preserve">Somalia </t>
  </si>
  <si>
    <t xml:space="preserve">South Africa </t>
  </si>
  <si>
    <t xml:space="preserve">South Sudan </t>
  </si>
  <si>
    <t xml:space="preserve">Spain </t>
  </si>
  <si>
    <t xml:space="preserve">Sri Lanka </t>
  </si>
  <si>
    <t xml:space="preserve">Sudan </t>
  </si>
  <si>
    <t xml:space="preserve">Suriname </t>
  </si>
  <si>
    <t xml:space="preserve">Swaziland </t>
  </si>
  <si>
    <t xml:space="preserve">Sweden </t>
  </si>
  <si>
    <t xml:space="preserve">Switzerland </t>
  </si>
  <si>
    <t xml:space="preserve">Tajikistan </t>
  </si>
  <si>
    <t xml:space="preserve">Thailand </t>
  </si>
  <si>
    <t xml:space="preserve">Timor-Leste </t>
  </si>
  <si>
    <t xml:space="preserve">Togo </t>
  </si>
  <si>
    <t xml:space="preserve">Tonga </t>
  </si>
  <si>
    <t xml:space="preserve">Trinidad and Tobago </t>
  </si>
  <si>
    <t xml:space="preserve">Tunisia </t>
  </si>
  <si>
    <t xml:space="preserve">Turkey </t>
  </si>
  <si>
    <t xml:space="preserve">Turkmenistan </t>
  </si>
  <si>
    <t xml:space="preserve">Tuvalu </t>
  </si>
  <si>
    <t xml:space="preserve">Uganda </t>
  </si>
  <si>
    <t xml:space="preserve">Ukraine </t>
  </si>
  <si>
    <t xml:space="preserve">United Arab Emirates </t>
  </si>
  <si>
    <t xml:space="preserve">United Kingdom </t>
  </si>
  <si>
    <t xml:space="preserve">United States </t>
  </si>
  <si>
    <t xml:space="preserve">Uruguay </t>
  </si>
  <si>
    <t xml:space="preserve">Uzbekistan </t>
  </si>
  <si>
    <t xml:space="preserve">Vanuatu </t>
  </si>
  <si>
    <t xml:space="preserve">Viet Nam </t>
  </si>
  <si>
    <t xml:space="preserve">Western Sahara </t>
  </si>
  <si>
    <t xml:space="preserve">Yemen </t>
  </si>
  <si>
    <t xml:space="preserve">Zambia </t>
  </si>
  <si>
    <t xml:space="preserve">Zimbabwe </t>
  </si>
  <si>
    <t>Country Name</t>
  </si>
  <si>
    <t>Country Code</t>
  </si>
  <si>
    <t>Prefered currency</t>
  </si>
  <si>
    <t>USD</t>
  </si>
  <si>
    <t>EUR</t>
  </si>
  <si>
    <t>AUD</t>
  </si>
  <si>
    <t>CAD</t>
  </si>
  <si>
    <t>DKK</t>
  </si>
  <si>
    <t>JPY</t>
  </si>
  <si>
    <t>NZD</t>
  </si>
  <si>
    <t>NOK</t>
  </si>
  <si>
    <t>SEK</t>
  </si>
  <si>
    <t>CHF</t>
  </si>
  <si>
    <t>GBP</t>
  </si>
  <si>
    <t>IBAN length</t>
  </si>
  <si>
    <t>Moldova</t>
  </si>
  <si>
    <t>First name(s)</t>
  </si>
  <si>
    <t>Last name</t>
  </si>
  <si>
    <t>Date of birth</t>
  </si>
  <si>
    <t>Day</t>
  </si>
  <si>
    <t>Month</t>
  </si>
  <si>
    <t>Year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</si>
  <si>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</si>
  <si>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</si>
  <si>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</si>
  <si>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</si>
  <si>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</si>
  <si>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</si>
  <si>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</si>
  <si>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</si>
  <si>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</si>
  <si>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</si>
  <si>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</si>
  <si>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</si>
  <si>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</si>
  <si>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</si>
  <si>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</si>
  <si>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</si>
  <si>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</si>
  <si>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</si>
  <si>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</si>
  <si>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</si>
  <si>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</si>
  <si>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</si>
  <si>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</si>
  <si>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</si>
  <si>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</si>
  <si>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</si>
  <si>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</si>
  <si>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</si>
  <si>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</si>
  <si>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</si>
  <si>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</si>
  <si>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Hour</t>
  </si>
  <si>
    <t>00</t>
  </si>
  <si>
    <t>Minute</t>
  </si>
  <si>
    <t>Address</t>
  </si>
  <si>
    <t>Bank Category</t>
  </si>
  <si>
    <t>Assessment fee</t>
  </si>
  <si>
    <t>Bank info</t>
  </si>
  <si>
    <t>Reg. number</t>
  </si>
  <si>
    <t>BSB code</t>
  </si>
  <si>
    <t>Postal code</t>
  </si>
  <si>
    <t>Currencies</t>
  </si>
  <si>
    <t>Receipt no.</t>
  </si>
  <si>
    <t>Amount</t>
  </si>
  <si>
    <t>Currency</t>
  </si>
  <si>
    <t>Description/text</t>
  </si>
  <si>
    <t>Euro</t>
  </si>
  <si>
    <t>Amerikanske dollar</t>
  </si>
  <si>
    <t>Britiske pund</t>
  </si>
  <si>
    <t>Svenske kroner</t>
  </si>
  <si>
    <t>Norske kroner</t>
  </si>
  <si>
    <t>Schweiziske franc</t>
  </si>
  <si>
    <t>Japanske yen</t>
  </si>
  <si>
    <t>Valuta</t>
  </si>
  <si>
    <t>Kode</t>
  </si>
  <si>
    <t>Kurs</t>
  </si>
  <si>
    <t>Canadiske dollar</t>
  </si>
  <si>
    <t>New Zealandske dollar</t>
  </si>
  <si>
    <t>Australske dollar</t>
  </si>
  <si>
    <t>Danske kroner</t>
  </si>
  <si>
    <t>Bank details</t>
  </si>
  <si>
    <t>Personal details</t>
  </si>
  <si>
    <t>Expenses</t>
  </si>
  <si>
    <t>Trip details</t>
  </si>
  <si>
    <t>Destination</t>
  </si>
  <si>
    <t>Purpose</t>
  </si>
  <si>
    <t>day</t>
  </si>
  <si>
    <t>month</t>
  </si>
  <si>
    <t>year</t>
  </si>
  <si>
    <t>Departure time</t>
  </si>
  <si>
    <t>hour</t>
  </si>
  <si>
    <t>mins</t>
  </si>
  <si>
    <t>Return time</t>
  </si>
  <si>
    <t>Travel year</t>
  </si>
  <si>
    <t>hours</t>
  </si>
  <si>
    <t>days</t>
  </si>
  <si>
    <t xml:space="preserve"> </t>
  </si>
  <si>
    <t>Trip duration</t>
  </si>
  <si>
    <t>Travel days at your own expense</t>
  </si>
  <si>
    <t>Days with undeclared accommodation</t>
  </si>
  <si>
    <t>Breakfast</t>
  </si>
  <si>
    <t>Lunch</t>
  </si>
  <si>
    <t>Dinner</t>
  </si>
  <si>
    <t>number</t>
  </si>
  <si>
    <t>Transportation in your own car</t>
  </si>
  <si>
    <t>From/to</t>
  </si>
  <si>
    <t>km</t>
  </si>
  <si>
    <t>Deductions and additions</t>
  </si>
  <si>
    <t>Balance</t>
  </si>
  <si>
    <t>Rate</t>
  </si>
  <si>
    <t>Number</t>
  </si>
  <si>
    <t>Type</t>
  </si>
  <si>
    <t>kmrate</t>
  </si>
  <si>
    <t>Udok nat</t>
  </si>
  <si>
    <t>Mealreduc</t>
  </si>
  <si>
    <t>Pct</t>
  </si>
  <si>
    <t>Expenses as stated above</t>
  </si>
  <si>
    <t>Meal deductions</t>
  </si>
  <si>
    <t>Rate (DKK)</t>
  </si>
  <si>
    <t>Subtotal</t>
  </si>
  <si>
    <t>Total</t>
  </si>
  <si>
    <t>-</t>
  </si>
  <si>
    <t>last 4 cpr</t>
  </si>
  <si>
    <t>Per diem</t>
  </si>
  <si>
    <t>Reduction in per diem over 28 days</t>
  </si>
  <si>
    <t>Grand total</t>
  </si>
  <si>
    <t>Would you like a certain specification on your bank statement (max. 20 characters)</t>
  </si>
  <si>
    <t>Entertainment expenses</t>
  </si>
  <si>
    <t>Participants</t>
  </si>
  <si>
    <t>Other information</t>
  </si>
  <si>
    <t>SLS-DLS</t>
  </si>
  <si>
    <t>Sted</t>
  </si>
  <si>
    <t>Alias</t>
  </si>
  <si>
    <t>Løngruppe</t>
  </si>
  <si>
    <t>KU-DRS</t>
  </si>
  <si>
    <t>KU-spec.</t>
  </si>
  <si>
    <t>Løndel</t>
  </si>
  <si>
    <t>6932/2236</t>
  </si>
  <si>
    <t>PKAT 780</t>
  </si>
  <si>
    <t>Beløb i DKK:</t>
  </si>
  <si>
    <t>For University of Copenhagen only</t>
  </si>
  <si>
    <t>Your contact at the University of Copenhagen</t>
  </si>
  <si>
    <t>Name</t>
  </si>
  <si>
    <t>E-mail</t>
  </si>
  <si>
    <t>Would you like to add an assessment fee?</t>
  </si>
  <si>
    <t>TD-penge</t>
  </si>
  <si>
    <t>TD or not</t>
  </si>
  <si>
    <t>No</t>
  </si>
  <si>
    <t>Town/city</t>
  </si>
  <si>
    <t>Your payment (subject to approval)</t>
  </si>
  <si>
    <t>*</t>
  </si>
  <si>
    <t>2014</t>
  </si>
  <si>
    <t>2013</t>
  </si>
  <si>
    <t>2012</t>
  </si>
  <si>
    <t>2011</t>
  </si>
  <si>
    <t>45</t>
  </si>
  <si>
    <t>2010</t>
  </si>
  <si>
    <t>2009</t>
  </si>
  <si>
    <t>2008</t>
  </si>
  <si>
    <t>2007</t>
  </si>
  <si>
    <t>2006</t>
  </si>
  <si>
    <t>2005</t>
  </si>
  <si>
    <t>2004</t>
  </si>
  <si>
    <t>2003</t>
  </si>
  <si>
    <t>2002</t>
  </si>
  <si>
    <t>2001</t>
  </si>
  <si>
    <t>2000</t>
  </si>
  <si>
    <t>1999</t>
  </si>
  <si>
    <t>1998</t>
  </si>
  <si>
    <t>1997</t>
  </si>
  <si>
    <t>1996</t>
  </si>
  <si>
    <t>1995</t>
  </si>
  <si>
    <t>1994</t>
  </si>
  <si>
    <t>1993</t>
  </si>
  <si>
    <t>1992</t>
  </si>
  <si>
    <t>1991</t>
  </si>
  <si>
    <t>1990</t>
  </si>
  <si>
    <t>1989</t>
  </si>
  <si>
    <t>1988</t>
  </si>
  <si>
    <t>1987</t>
  </si>
  <si>
    <t>1986</t>
  </si>
  <si>
    <t>1985</t>
  </si>
  <si>
    <t>1984</t>
  </si>
  <si>
    <t>1983</t>
  </si>
  <si>
    <t>1982</t>
  </si>
  <si>
    <t>1981</t>
  </si>
  <si>
    <t>1980</t>
  </si>
  <si>
    <t>1979</t>
  </si>
  <si>
    <t>1978</t>
  </si>
  <si>
    <t>1977</t>
  </si>
  <si>
    <t>1976</t>
  </si>
  <si>
    <t>1975</t>
  </si>
  <si>
    <t>1974</t>
  </si>
  <si>
    <t>1973</t>
  </si>
  <si>
    <t>1972</t>
  </si>
  <si>
    <t>1971</t>
  </si>
  <si>
    <t>1970</t>
  </si>
  <si>
    <t>1969</t>
  </si>
  <si>
    <t>1968</t>
  </si>
  <si>
    <t>1967</t>
  </si>
  <si>
    <t>1966</t>
  </si>
  <si>
    <t>1965</t>
  </si>
  <si>
    <t>1964</t>
  </si>
  <si>
    <t>1963</t>
  </si>
  <si>
    <t>1962</t>
  </si>
  <si>
    <t>1961</t>
  </si>
  <si>
    <t>1960</t>
  </si>
  <si>
    <t>1959</t>
  </si>
  <si>
    <t>1958</t>
  </si>
  <si>
    <t>1957</t>
  </si>
  <si>
    <t>1956</t>
  </si>
  <si>
    <t>1955</t>
  </si>
  <si>
    <t>1954</t>
  </si>
  <si>
    <t>1953</t>
  </si>
  <si>
    <t>1952</t>
  </si>
  <si>
    <t>1951</t>
  </si>
  <si>
    <t>1950</t>
  </si>
  <si>
    <t>1949</t>
  </si>
  <si>
    <t>1948</t>
  </si>
  <si>
    <t>1947</t>
  </si>
  <si>
    <t>1946</t>
  </si>
  <si>
    <t>1945</t>
  </si>
  <si>
    <t>1944</t>
  </si>
  <si>
    <t>1943</t>
  </si>
  <si>
    <t>1942</t>
  </si>
  <si>
    <t>1941</t>
  </si>
  <si>
    <t>1940</t>
  </si>
  <si>
    <t>1939</t>
  </si>
  <si>
    <t>1938</t>
  </si>
  <si>
    <t>1937</t>
  </si>
  <si>
    <t>1936</t>
  </si>
  <si>
    <t>1935</t>
  </si>
  <si>
    <t>1934</t>
  </si>
  <si>
    <t>1933</t>
  </si>
  <si>
    <t>1932</t>
  </si>
  <si>
    <t>1931</t>
  </si>
  <si>
    <t>1930</t>
  </si>
  <si>
    <t>1929</t>
  </si>
  <si>
    <t>1928</t>
  </si>
  <si>
    <t>1927</t>
  </si>
  <si>
    <t>1926</t>
  </si>
  <si>
    <t>1925</t>
  </si>
  <si>
    <t>1924</t>
  </si>
  <si>
    <t>1923</t>
  </si>
  <si>
    <t>1922</t>
  </si>
  <si>
    <t>1921</t>
  </si>
  <si>
    <t>1920</t>
  </si>
  <si>
    <t>1919</t>
  </si>
  <si>
    <t>1918</t>
  </si>
  <si>
    <t>1917</t>
  </si>
  <si>
    <t>1916</t>
  </si>
  <si>
    <t>1915</t>
  </si>
  <si>
    <t>Reduction</t>
  </si>
  <si>
    <t>AD</t>
  </si>
  <si>
    <t>AE</t>
  </si>
  <si>
    <t>AF</t>
  </si>
  <si>
    <t>AG</t>
  </si>
  <si>
    <t>AL</t>
  </si>
  <si>
    <t>AM</t>
  </si>
  <si>
    <t>AO</t>
  </si>
  <si>
    <t>AR</t>
  </si>
  <si>
    <t>AT</t>
  </si>
  <si>
    <t>AU</t>
  </si>
  <si>
    <t>AZ</t>
  </si>
  <si>
    <t>BA</t>
  </si>
  <si>
    <t>BB</t>
  </si>
  <si>
    <t>BD</t>
  </si>
  <si>
    <t>BE</t>
  </si>
  <si>
    <t>BF</t>
  </si>
  <si>
    <t>BG</t>
  </si>
  <si>
    <t>BH</t>
  </si>
  <si>
    <t>BI</t>
  </si>
  <si>
    <t>BJ</t>
  </si>
  <si>
    <t>BN</t>
  </si>
  <si>
    <t>BO</t>
  </si>
  <si>
    <t>BR</t>
  </si>
  <si>
    <t>BS</t>
  </si>
  <si>
    <t>BT</t>
  </si>
  <si>
    <t>BW</t>
  </si>
  <si>
    <t>BY</t>
  </si>
  <si>
    <t>BZ</t>
  </si>
  <si>
    <t>CA</t>
  </si>
  <si>
    <t>CD</t>
  </si>
  <si>
    <t>CF</t>
  </si>
  <si>
    <t>CG</t>
  </si>
  <si>
    <t>CH</t>
  </si>
  <si>
    <t>CI</t>
  </si>
  <si>
    <t>CL</t>
  </si>
  <si>
    <t>CM</t>
  </si>
  <si>
    <t>CN</t>
  </si>
  <si>
    <t>CO</t>
  </si>
  <si>
    <t>CR</t>
  </si>
  <si>
    <t>CU</t>
  </si>
  <si>
    <t>CV</t>
  </si>
  <si>
    <t>CY</t>
  </si>
  <si>
    <t>CZ</t>
  </si>
  <si>
    <t>DE</t>
  </si>
  <si>
    <t>DJ</t>
  </si>
  <si>
    <t>DK</t>
  </si>
  <si>
    <t>DM</t>
  </si>
  <si>
    <t>DO</t>
  </si>
  <si>
    <t>DZ</t>
  </si>
  <si>
    <t>EC</t>
  </si>
  <si>
    <t>EE</t>
  </si>
  <si>
    <t>EG</t>
  </si>
  <si>
    <t>EH</t>
  </si>
  <si>
    <t>ER</t>
  </si>
  <si>
    <t>ES</t>
  </si>
  <si>
    <t>ET</t>
  </si>
  <si>
    <t>FI</t>
  </si>
  <si>
    <t>FJ</t>
  </si>
  <si>
    <t>FM</t>
  </si>
  <si>
    <t>FO</t>
  </si>
  <si>
    <t>FR</t>
  </si>
  <si>
    <t>GA</t>
  </si>
  <si>
    <t>GB</t>
  </si>
  <si>
    <t>GD</t>
  </si>
  <si>
    <t>GE</t>
  </si>
  <si>
    <t>GH</t>
  </si>
  <si>
    <t>GL</t>
  </si>
  <si>
    <t>GM</t>
  </si>
  <si>
    <t>GN</t>
  </si>
  <si>
    <t>GQ</t>
  </si>
  <si>
    <t>GR</t>
  </si>
  <si>
    <t>GT</t>
  </si>
  <si>
    <t>GW</t>
  </si>
  <si>
    <t>GY</t>
  </si>
  <si>
    <t>HK</t>
  </si>
  <si>
    <t>HN</t>
  </si>
  <si>
    <t>HR</t>
  </si>
  <si>
    <t>HT</t>
  </si>
  <si>
    <t>HU</t>
  </si>
  <si>
    <t>ID</t>
  </si>
  <si>
    <t>IE</t>
  </si>
  <si>
    <t>IL</t>
  </si>
  <si>
    <t>IN</t>
  </si>
  <si>
    <t>IQ</t>
  </si>
  <si>
    <t>IR</t>
  </si>
  <si>
    <t>IS</t>
  </si>
  <si>
    <t>IT</t>
  </si>
  <si>
    <t>JM</t>
  </si>
  <si>
    <t>JO</t>
  </si>
  <si>
    <t>JP</t>
  </si>
  <si>
    <t>KE</t>
  </si>
  <si>
    <t>KG</t>
  </si>
  <si>
    <t>KH</t>
  </si>
  <si>
    <t>KI</t>
  </si>
  <si>
    <t>KM</t>
  </si>
  <si>
    <t>KN</t>
  </si>
  <si>
    <t>KP</t>
  </si>
  <si>
    <t>KR</t>
  </si>
  <si>
    <t>KW</t>
  </si>
  <si>
    <t>KZ</t>
  </si>
  <si>
    <t>LA</t>
  </si>
  <si>
    <t>LB</t>
  </si>
  <si>
    <t>LC</t>
  </si>
  <si>
    <t>LI</t>
  </si>
  <si>
    <t>LK</t>
  </si>
  <si>
    <t>LR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</si>
  <si>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</si>
  <si>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</si>
  <si>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</si>
  <si>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</si>
  <si>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</si>
  <si>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</si>
  <si>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</si>
  <si>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</si>
  <si>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</si>
  <si>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MG</t>
  </si>
  <si>
    <t>MH</t>
  </si>
  <si>
    <t>MK</t>
  </si>
  <si>
    <t>ML</t>
  </si>
  <si>
    <t>MM</t>
  </si>
  <si>
    <t>MN</t>
  </si>
  <si>
    <t>MO</t>
  </si>
  <si>
    <t>MR</t>
  </si>
  <si>
    <t>MT</t>
  </si>
  <si>
    <t>MU</t>
  </si>
  <si>
    <t>MV</t>
  </si>
  <si>
    <t>MW</t>
  </si>
  <si>
    <t>MX</t>
  </si>
  <si>
    <t>MY</t>
  </si>
  <si>
    <t>MZ</t>
  </si>
  <si>
    <t>NA</t>
  </si>
  <si>
    <t>NE</t>
  </si>
  <si>
    <t>NG</t>
  </si>
  <si>
    <t>NI</t>
  </si>
  <si>
    <t>NL</t>
  </si>
  <si>
    <t>NO</t>
  </si>
  <si>
    <t>NP</t>
  </si>
  <si>
    <t>NR</t>
  </si>
  <si>
    <t>NZ</t>
  </si>
  <si>
    <t>OM</t>
  </si>
  <si>
    <t>PA</t>
  </si>
  <si>
    <t>PE</t>
  </si>
  <si>
    <t>PG</t>
  </si>
  <si>
    <t>PH</t>
  </si>
  <si>
    <t>PK</t>
  </si>
  <si>
    <t>PL</t>
  </si>
  <si>
    <t>PS</t>
  </si>
  <si>
    <t>PT</t>
  </si>
  <si>
    <t>PW</t>
  </si>
  <si>
    <t>PY</t>
  </si>
  <si>
    <t>QA</t>
  </si>
  <si>
    <t>RO</t>
  </si>
  <si>
    <t>RS</t>
  </si>
  <si>
    <t>RU</t>
  </si>
  <si>
    <t>RW</t>
  </si>
  <si>
    <t>SA</t>
  </si>
  <si>
    <t>SB</t>
  </si>
  <si>
    <t>SC</t>
  </si>
  <si>
    <t>SD</t>
  </si>
  <si>
    <t>SE</t>
  </si>
  <si>
    <t>SG</t>
  </si>
  <si>
    <t>SI</t>
  </si>
  <si>
    <t>SK</t>
  </si>
  <si>
    <t>SL</t>
  </si>
  <si>
    <t>SM</t>
  </si>
  <si>
    <t>SN</t>
  </si>
  <si>
    <t>SO</t>
  </si>
  <si>
    <t>SR</t>
  </si>
  <si>
    <t>SS</t>
  </si>
  <si>
    <t>ST</t>
  </si>
  <si>
    <t>SV</t>
  </si>
  <si>
    <t>SY</t>
  </si>
  <si>
    <t>SZ</t>
  </si>
  <si>
    <t>TD</t>
  </si>
  <si>
    <t>TG</t>
  </si>
  <si>
    <t>TH</t>
  </si>
  <si>
    <t>TJ</t>
  </si>
  <si>
    <t>TL</t>
  </si>
  <si>
    <t>TM</t>
  </si>
  <si>
    <t>TN</t>
  </si>
  <si>
    <t>TO</t>
  </si>
  <si>
    <t>TR</t>
  </si>
  <si>
    <t>TT</t>
  </si>
  <si>
    <t>TV</t>
  </si>
  <si>
    <t>TW</t>
  </si>
  <si>
    <t>TZ</t>
  </si>
  <si>
    <t>UA</t>
  </si>
  <si>
    <t>UG</t>
  </si>
  <si>
    <t>US</t>
  </si>
  <si>
    <t>UY</t>
  </si>
  <si>
    <t>UZ</t>
  </si>
  <si>
    <t>VA</t>
  </si>
  <si>
    <t>VC</t>
  </si>
  <si>
    <t>VE</t>
  </si>
  <si>
    <t>VN</t>
  </si>
  <si>
    <t>VU</t>
  </si>
  <si>
    <t>WS</t>
  </si>
  <si>
    <t>YE</t>
  </si>
  <si>
    <t>ZA</t>
  </si>
  <si>
    <t>ZM</t>
  </si>
  <si>
    <t>ZW</t>
  </si>
  <si>
    <t>Kolonne1</t>
  </si>
  <si>
    <t xml:space="preserve">Bolivia </t>
  </si>
  <si>
    <t xml:space="preserve">Congo, Dem.Rep. </t>
  </si>
  <si>
    <t xml:space="preserve">Micronesia </t>
  </si>
  <si>
    <t xml:space="preserve">Laos </t>
  </si>
  <si>
    <t xml:space="preserve">North Korea </t>
  </si>
  <si>
    <t xml:space="preserve">South Korea </t>
  </si>
  <si>
    <t xml:space="preserve">Macedonia </t>
  </si>
  <si>
    <t xml:space="preserve">Palestine </t>
  </si>
  <si>
    <t xml:space="preserve">Russia </t>
  </si>
  <si>
    <t xml:space="preserve">Syria </t>
  </si>
  <si>
    <t xml:space="preserve">Taiwan </t>
  </si>
  <si>
    <t xml:space="preserve">Tanzania </t>
  </si>
  <si>
    <t xml:space="preserve">Holy See </t>
  </si>
  <si>
    <t xml:space="preserve">Venezuela </t>
  </si>
  <si>
    <t xml:space="preserve">Iran </t>
  </si>
  <si>
    <t>Kontering, honorar</t>
  </si>
  <si>
    <t>Kontering, resten</t>
  </si>
  <si>
    <t>Free meals (for trips longer than 24 hours)</t>
  </si>
  <si>
    <t>Bank location</t>
  </si>
  <si>
    <t>Bank cat</t>
  </si>
  <si>
    <t>---</t>
  </si>
  <si>
    <t>Occasion</t>
  </si>
  <si>
    <t>10020000-615050-10-5000005010</t>
  </si>
  <si>
    <t>2019</t>
  </si>
  <si>
    <t>2020</t>
  </si>
  <si>
    <t>2021</t>
  </si>
  <si>
    <t>2022</t>
  </si>
  <si>
    <t>2023</t>
  </si>
  <si>
    <t>2024</t>
  </si>
  <si>
    <t>XK</t>
  </si>
  <si>
    <t xml:space="preserve">Kosovo </t>
  </si>
  <si>
    <t>University of Copenhagen - Form for claiming reimbursement of travel expenses and assessment fee 2021
Yellow fields are compulsory - fill out the white fields when applicable</t>
  </si>
  <si>
    <t>Helle Norup</t>
  </si>
  <si>
    <t>heno@di.ku.dk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</si>
</sst>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8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  <font>
      <sz val="6"/>
      <color theme="0" tint="-0.499984740745262"/>
      <name val="Calibri"/>
      <family val="2"/>
      <scheme val="minor"/>
    </font>
    <font>
      <sz val="8"/>
      <color theme="2" tint="-0.49998474074526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sz val="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A5FDBA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9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2" fillId="39" borderId="0" applyNumberFormat="0" applyBorder="0" applyAlignment="0" applyProtection="0"/>
    <xf numFmtId="0" fontId="2" fillId="43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16" fillId="36" borderId="0" applyNumberFormat="0" applyBorder="0" applyAlignment="0" applyProtection="0"/>
    <xf numFmtId="0" fontId="16" fillId="40" borderId="0" applyNumberFormat="0" applyBorder="0" applyAlignment="0" applyProtection="0"/>
    <xf numFmtId="0" fontId="16" fillId="44" borderId="0" applyNumberFormat="0" applyBorder="0" applyAlignment="0" applyProtection="0"/>
    <xf numFmtId="0" fontId="15" fillId="20" borderId="44" applyNumberFormat="0" applyAlignment="0" applyProtection="0"/>
    <xf numFmtId="0" fontId="16" fillId="21" borderId="0" applyNumberFormat="0" applyBorder="0" applyAlignment="0" applyProtection="0"/>
    <xf numFmtId="0" fontId="16" fillId="25" borderId="0" applyNumberFormat="0" applyBorder="0" applyAlignment="0" applyProtection="0"/>
    <xf numFmtId="0" fontId="16" fillId="29" borderId="0" applyNumberFormat="0" applyBorder="0" applyAlignment="0" applyProtection="0"/>
    <xf numFmtId="0" fontId="16" fillId="33" borderId="0" applyNumberFormat="0" applyBorder="0" applyAlignment="0" applyProtection="0"/>
    <xf numFmtId="0" fontId="16" fillId="37" borderId="0" applyNumberFormat="0" applyBorder="0" applyAlignment="0" applyProtection="0"/>
    <xf numFmtId="0" fontId="16" fillId="41" borderId="0" applyNumberFormat="0" applyBorder="0" applyAlignment="0" applyProtection="0"/>
    <xf numFmtId="0" fontId="17" fillId="0" borderId="0"/>
  </cellStyleXfs>
  <cellXfs count="255">
    <xf numFmtId="0" fontId="0" fillId="0" borderId="0" xfId="0"/>
    <xf numFmtId="0" fontId="1" fillId="6" borderId="0" xfId="0" applyFont="1" applyFill="1"/>
    <xf numFmtId="0" fontId="1" fillId="6" borderId="8" xfId="0" applyFont="1" applyFill="1" applyBorder="1"/>
    <xf numFmtId="0" fontId="1" fillId="6" borderId="9" xfId="0" applyFont="1" applyFill="1" applyBorder="1"/>
    <xf numFmtId="0" fontId="1" fillId="6" borderId="10" xfId="0" applyFont="1" applyFill="1" applyBorder="1"/>
    <xf numFmtId="0" fontId="1" fillId="6" borderId="11" xfId="0" applyFont="1" applyFill="1" applyBorder="1"/>
    <xf numFmtId="0" fontId="1" fillId="6" borderId="0" xfId="0" applyFont="1" applyFill="1" applyBorder="1"/>
    <xf numFmtId="2" fontId="1" fillId="6" borderId="0" xfId="0" applyNumberFormat="1" applyFont="1" applyFill="1" applyBorder="1"/>
    <xf numFmtId="0" fontId="0" fillId="9" borderId="0" xfId="0" applyFill="1"/>
    <xf numFmtId="0" fontId="0" fillId="10" borderId="0" xfId="0" applyFill="1"/>
    <xf numFmtId="0" fontId="0" fillId="10" borderId="0" xfId="0" quotePrefix="1" applyFill="1" applyAlignment="1">
      <alignment horizontal="right"/>
    </xf>
    <xf numFmtId="0" fontId="0" fillId="11" borderId="0" xfId="0" applyFill="1"/>
    <xf numFmtId="0" fontId="0" fillId="11" borderId="0" xfId="0" quotePrefix="1" applyFill="1"/>
    <xf numFmtId="0" fontId="0" fillId="12" borderId="0" xfId="0" applyFill="1"/>
    <xf numFmtId="0" fontId="0" fillId="13" borderId="0" xfId="0" applyFill="1"/>
    <xf numFmtId="0" fontId="0" fillId="8" borderId="0" xfId="0" applyFill="1"/>
    <xf numFmtId="0" fontId="0" fillId="8" borderId="0" xfId="0" quotePrefix="1" applyFill="1"/>
    <xf numFmtId="0" fontId="0" fillId="14" borderId="0" xfId="0" applyFill="1"/>
    <xf numFmtId="0" fontId="0" fillId="14" borderId="0" xfId="0" quotePrefix="1" applyFill="1"/>
    <xf numFmtId="0" fontId="0" fillId="7" borderId="0" xfId="0" applyFill="1"/>
    <xf numFmtId="0" fontId="0" fillId="7" borderId="0" xfId="0" applyFill="1" applyAlignment="1">
      <alignment vertical="center" wrapText="1"/>
    </xf>
    <xf numFmtId="4" fontId="0" fillId="7" borderId="0" xfId="0" applyNumberFormat="1" applyFill="1" applyAlignment="1">
      <alignment vertical="center" wrapText="1"/>
    </xf>
    <xf numFmtId="0" fontId="0" fillId="15" borderId="0" xfId="0" applyFill="1"/>
    <xf numFmtId="0" fontId="0" fillId="16" borderId="0" xfId="0" applyFill="1"/>
    <xf numFmtId="0" fontId="0" fillId="17" borderId="0" xfId="0" applyFill="1"/>
    <xf numFmtId="0" fontId="1" fillId="6" borderId="5" xfId="0" applyFont="1" applyFill="1" applyBorder="1"/>
    <xf numFmtId="0" fontId="1" fillId="6" borderId="7" xfId="0" applyFont="1" applyFill="1" applyBorder="1"/>
    <xf numFmtId="0" fontId="0" fillId="18" borderId="0" xfId="0" applyFill="1"/>
    <xf numFmtId="0" fontId="1" fillId="5" borderId="24" xfId="0" applyFont="1" applyFill="1" applyBorder="1"/>
    <xf numFmtId="1" fontId="1" fillId="0" borderId="1" xfId="0" applyNumberFormat="1" applyFont="1" applyFill="1" applyBorder="1" applyProtection="1">
      <protection locked="0"/>
    </xf>
    <xf numFmtId="1" fontId="1" fillId="0" borderId="7" xfId="0" applyNumberFormat="1" applyFont="1" applyFill="1" applyBorder="1" applyProtection="1">
      <protection locked="0"/>
    </xf>
    <xf numFmtId="49" fontId="1" fillId="8" borderId="1" xfId="0" applyNumberFormat="1" applyFont="1" applyFill="1" applyBorder="1" applyAlignment="1" applyProtection="1">
      <alignment horizontal="center"/>
      <protection locked="0"/>
    </xf>
    <xf numFmtId="0" fontId="4" fillId="3" borderId="2" xfId="0" applyFont="1" applyFill="1" applyBorder="1" applyProtection="1"/>
    <xf numFmtId="0" fontId="1" fillId="3" borderId="3" xfId="0" applyFont="1" applyFill="1" applyBorder="1" applyAlignment="1" applyProtection="1">
      <alignment horizontal="center" vertical="top"/>
    </xf>
    <xf numFmtId="0" fontId="1" fillId="3" borderId="23" xfId="0" applyFont="1" applyFill="1" applyBorder="1" applyAlignment="1" applyProtection="1">
      <alignment horizontal="center" vertical="top"/>
    </xf>
    <xf numFmtId="0" fontId="1" fillId="3" borderId="4" xfId="0" applyFont="1" applyFill="1" applyBorder="1" applyProtection="1"/>
    <xf numFmtId="0" fontId="1" fillId="3" borderId="0" xfId="0" applyFont="1" applyFill="1" applyBorder="1" applyAlignment="1" applyProtection="1">
      <alignment horizontal="center" vertical="top"/>
    </xf>
    <xf numFmtId="0" fontId="1" fillId="3" borderId="0" xfId="0" applyFont="1" applyFill="1" applyBorder="1" applyProtection="1"/>
    <xf numFmtId="0" fontId="1" fillId="3" borderId="24" xfId="0" applyFont="1" applyFill="1" applyBorder="1" applyAlignment="1" applyProtection="1">
      <alignment horizontal="center" vertical="top"/>
    </xf>
    <xf numFmtId="0" fontId="1" fillId="3" borderId="4" xfId="0" applyFont="1" applyFill="1" applyBorder="1" applyAlignment="1" applyProtection="1">
      <alignment horizontal="center" vertical="top" wrapText="1"/>
    </xf>
    <xf numFmtId="0" fontId="1" fillId="3" borderId="4" xfId="0" applyFont="1" applyFill="1" applyBorder="1" applyAlignment="1" applyProtection="1">
      <alignment horizontal="left" vertical="top"/>
    </xf>
    <xf numFmtId="0" fontId="1" fillId="3" borderId="25" xfId="0" applyFont="1" applyFill="1" applyBorder="1" applyAlignment="1" applyProtection="1">
      <alignment horizontal="center" vertical="top" wrapText="1"/>
    </xf>
    <xf numFmtId="0" fontId="1" fillId="3" borderId="26" xfId="0" applyFont="1" applyFill="1" applyBorder="1" applyAlignment="1" applyProtection="1">
      <alignment horizontal="center" vertical="top"/>
    </xf>
    <xf numFmtId="0" fontId="1" fillId="3" borderId="27" xfId="0" applyFont="1" applyFill="1" applyBorder="1" applyAlignment="1" applyProtection="1">
      <alignment horizontal="center" vertical="top"/>
    </xf>
    <xf numFmtId="0" fontId="10" fillId="5" borderId="0" xfId="0" applyFont="1" applyFill="1" applyBorder="1" applyAlignment="1" applyProtection="1">
      <alignment horizontal="center" vertical="top" wrapText="1"/>
    </xf>
    <xf numFmtId="0" fontId="10" fillId="5" borderId="0" xfId="0" applyFont="1" applyFill="1" applyBorder="1" applyAlignment="1" applyProtection="1">
      <alignment horizontal="center" vertical="top"/>
    </xf>
    <xf numFmtId="0" fontId="1" fillId="3" borderId="3" xfId="0" applyFont="1" applyFill="1" applyBorder="1" applyProtection="1"/>
    <xf numFmtId="0" fontId="1" fillId="3" borderId="23" xfId="0" applyFont="1" applyFill="1" applyBorder="1" applyProtection="1"/>
    <xf numFmtId="0" fontId="1" fillId="3" borderId="24" xfId="0" applyFont="1" applyFill="1" applyBorder="1" applyProtection="1"/>
    <xf numFmtId="0" fontId="1" fillId="3" borderId="25" xfId="0" applyFont="1" applyFill="1" applyBorder="1" applyProtection="1"/>
    <xf numFmtId="0" fontId="1" fillId="3" borderId="26" xfId="0" applyFont="1" applyFill="1" applyBorder="1" applyProtection="1"/>
    <xf numFmtId="0" fontId="1" fillId="3" borderId="27" xfId="0" applyFont="1" applyFill="1" applyBorder="1" applyProtection="1"/>
    <xf numFmtId="0" fontId="0" fillId="2" borderId="0" xfId="0" applyFill="1"/>
    <xf numFmtId="49" fontId="0" fillId="13" borderId="0" xfId="0" quotePrefix="1" applyNumberFormat="1" applyFill="1"/>
    <xf numFmtId="0" fontId="0" fillId="12" borderId="0" xfId="0" quotePrefix="1" applyFill="1"/>
    <xf numFmtId="0" fontId="0" fillId="10" borderId="0" xfId="0" quotePrefix="1" applyFill="1"/>
    <xf numFmtId="0" fontId="4" fillId="19" borderId="2" xfId="0" applyFont="1" applyFill="1" applyBorder="1" applyProtection="1"/>
    <xf numFmtId="0" fontId="1" fillId="19" borderId="3" xfId="0" applyFont="1" applyFill="1" applyBorder="1" applyProtection="1"/>
    <xf numFmtId="0" fontId="1" fillId="19" borderId="23" xfId="0" applyFont="1" applyFill="1" applyBorder="1" applyProtection="1"/>
    <xf numFmtId="0" fontId="1" fillId="19" borderId="0" xfId="0" applyFont="1" applyFill="1" applyBorder="1" applyAlignment="1" applyProtection="1"/>
    <xf numFmtId="0" fontId="1" fillId="19" borderId="0" xfId="0" applyFont="1" applyFill="1" applyBorder="1" applyProtection="1"/>
    <xf numFmtId="0" fontId="1" fillId="19" borderId="26" xfId="0" applyFont="1" applyFill="1" applyBorder="1" applyProtection="1"/>
    <xf numFmtId="0" fontId="1" fillId="19" borderId="24" xfId="0" applyFont="1" applyFill="1" applyBorder="1" applyProtection="1"/>
    <xf numFmtId="0" fontId="4" fillId="19" borderId="0" xfId="0" applyFont="1" applyFill="1" applyBorder="1" applyAlignment="1" applyProtection="1">
      <alignment horizontal="center"/>
    </xf>
    <xf numFmtId="0" fontId="1" fillId="19" borderId="0" xfId="0" applyFont="1" applyFill="1" applyBorder="1" applyAlignment="1" applyProtection="1">
      <alignment horizontal="center" vertical="top"/>
    </xf>
    <xf numFmtId="0" fontId="1" fillId="19" borderId="27" xfId="0" applyFont="1" applyFill="1" applyBorder="1" applyProtection="1"/>
    <xf numFmtId="0" fontId="1" fillId="19" borderId="25" xfId="0" applyFont="1" applyFill="1" applyBorder="1" applyProtection="1"/>
    <xf numFmtId="0" fontId="1" fillId="19" borderId="4" xfId="0" applyFont="1" applyFill="1" applyBorder="1" applyProtection="1"/>
    <xf numFmtId="49" fontId="1" fillId="6" borderId="0" xfId="0" applyNumberFormat="1" applyFont="1" applyFill="1"/>
    <xf numFmtId="0" fontId="1" fillId="0" borderId="0" xfId="0" applyFont="1"/>
    <xf numFmtId="0" fontId="1" fillId="5" borderId="2" xfId="0" applyFont="1" applyFill="1" applyBorder="1" applyProtection="1"/>
    <xf numFmtId="0" fontId="1" fillId="5" borderId="23" xfId="0" applyFont="1" applyFill="1" applyBorder="1" applyProtection="1"/>
    <xf numFmtId="0" fontId="1" fillId="5" borderId="4" xfId="0" applyFont="1" applyFill="1" applyBorder="1" applyProtection="1"/>
    <xf numFmtId="0" fontId="1" fillId="5" borderId="24" xfId="0" applyFont="1" applyFill="1" applyBorder="1" applyProtection="1"/>
    <xf numFmtId="0" fontId="1" fillId="0" borderId="0" xfId="0" applyFont="1" applyFill="1" applyBorder="1" applyProtection="1"/>
    <xf numFmtId="0" fontId="1" fillId="19" borderId="26" xfId="0" applyFont="1" applyFill="1" applyBorder="1" applyAlignment="1" applyProtection="1">
      <alignment horizontal="left"/>
    </xf>
    <xf numFmtId="0" fontId="7" fillId="19" borderId="0" xfId="0" applyFont="1" applyFill="1" applyBorder="1" applyProtection="1"/>
    <xf numFmtId="9" fontId="1" fillId="19" borderId="29" xfId="1" applyFont="1" applyFill="1" applyBorder="1" applyAlignment="1" applyProtection="1">
      <alignment horizontal="left"/>
    </xf>
    <xf numFmtId="9" fontId="1" fillId="19" borderId="30" xfId="1" applyFont="1" applyFill="1" applyBorder="1" applyAlignment="1" applyProtection="1">
      <alignment horizontal="left"/>
    </xf>
    <xf numFmtId="1" fontId="1" fillId="19" borderId="1" xfId="0" applyNumberFormat="1" applyFont="1" applyFill="1" applyBorder="1" applyProtection="1"/>
    <xf numFmtId="0" fontId="1" fillId="19" borderId="4" xfId="0" applyFont="1" applyFill="1" applyBorder="1" applyAlignment="1" applyProtection="1">
      <alignment horizontal="left"/>
    </xf>
    <xf numFmtId="1" fontId="1" fillId="19" borderId="0" xfId="0" applyNumberFormat="1" applyFont="1" applyFill="1" applyBorder="1" applyProtection="1"/>
    <xf numFmtId="0" fontId="1" fillId="19" borderId="18" xfId="0" applyFont="1" applyFill="1" applyBorder="1" applyProtection="1"/>
    <xf numFmtId="0" fontId="1" fillId="19" borderId="39" xfId="0" applyFont="1" applyFill="1" applyBorder="1" applyAlignment="1" applyProtection="1">
      <alignment horizontal="left"/>
    </xf>
    <xf numFmtId="164" fontId="1" fillId="19" borderId="0" xfId="2" applyFont="1" applyFill="1" applyBorder="1" applyProtection="1"/>
    <xf numFmtId="0" fontId="1" fillId="3" borderId="2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Protection="1"/>
    <xf numFmtId="0" fontId="1" fillId="3" borderId="14" xfId="0" applyFont="1" applyFill="1" applyBorder="1" applyProtection="1"/>
    <xf numFmtId="0" fontId="1" fillId="3" borderId="20" xfId="0" applyFont="1" applyFill="1" applyBorder="1" applyAlignment="1" applyProtection="1"/>
    <xf numFmtId="0" fontId="1" fillId="3" borderId="22" xfId="0" applyFont="1" applyFill="1" applyBorder="1" applyAlignment="1" applyProtection="1"/>
    <xf numFmtId="0" fontId="1" fillId="3" borderId="0" xfId="0" applyFont="1" applyFill="1" applyBorder="1" applyAlignment="1" applyProtection="1"/>
    <xf numFmtId="0" fontId="1" fillId="3" borderId="20" xfId="0" applyFont="1" applyFill="1" applyBorder="1" applyProtection="1"/>
    <xf numFmtId="0" fontId="1" fillId="3" borderId="21" xfId="0" applyFont="1" applyFill="1" applyBorder="1" applyProtection="1"/>
    <xf numFmtId="0" fontId="1" fillId="3" borderId="22" xfId="0" applyFont="1" applyFill="1" applyBorder="1" applyProtection="1"/>
    <xf numFmtId="0" fontId="1" fillId="3" borderId="16" xfId="0" applyFont="1" applyFill="1" applyBorder="1" applyProtection="1"/>
    <xf numFmtId="0" fontId="1" fillId="3" borderId="15" xfId="0" applyFont="1" applyFill="1" applyBorder="1" applyProtection="1"/>
    <xf numFmtId="0" fontId="1" fillId="3" borderId="17" xfId="0" applyFont="1" applyFill="1" applyBorder="1" applyProtection="1"/>
    <xf numFmtId="0" fontId="1" fillId="3" borderId="18" xfId="0" applyFont="1" applyFill="1" applyBorder="1" applyProtection="1"/>
    <xf numFmtId="0" fontId="1" fillId="3" borderId="19" xfId="0" applyFont="1" applyFill="1" applyBorder="1" applyProtection="1"/>
    <xf numFmtId="0" fontId="11" fillId="3" borderId="25" xfId="0" applyFont="1" applyFill="1" applyBorder="1" applyProtection="1"/>
    <xf numFmtId="0" fontId="1" fillId="0" borderId="25" xfId="0" applyFont="1" applyFill="1" applyBorder="1" applyProtection="1"/>
    <xf numFmtId="0" fontId="1" fillId="0" borderId="26" xfId="0" applyFont="1" applyFill="1" applyBorder="1" applyProtection="1"/>
    <xf numFmtId="0" fontId="1" fillId="0" borderId="27" xfId="0" applyFont="1" applyFill="1" applyBorder="1" applyProtection="1"/>
    <xf numFmtId="1" fontId="1" fillId="0" borderId="10" xfId="0" applyNumberFormat="1" applyFont="1" applyFill="1" applyBorder="1" applyProtection="1">
      <protection locked="0"/>
    </xf>
    <xf numFmtId="0" fontId="1" fillId="19" borderId="28" xfId="0" applyFont="1" applyFill="1" applyBorder="1" applyAlignment="1" applyProtection="1">
      <alignment horizontal="left"/>
    </xf>
    <xf numFmtId="0" fontId="1" fillId="19" borderId="21" xfId="0" applyFont="1" applyFill="1" applyBorder="1" applyAlignment="1" applyProtection="1">
      <alignment horizontal="left"/>
    </xf>
    <xf numFmtId="0" fontId="6" fillId="19" borderId="0" xfId="0" applyFont="1" applyFill="1" applyBorder="1" applyAlignment="1" applyProtection="1">
      <alignment horizontal="center"/>
    </xf>
    <xf numFmtId="49" fontId="1" fillId="8" borderId="5" xfId="0" applyNumberFormat="1" applyFont="1" applyFill="1" applyBorder="1" applyAlignment="1" applyProtection="1">
      <alignment horizontal="center"/>
      <protection locked="0"/>
    </xf>
    <xf numFmtId="0" fontId="6" fillId="19" borderId="3" xfId="0" applyFont="1" applyFill="1" applyBorder="1" applyAlignment="1" applyProtection="1">
      <alignment horizontal="center"/>
    </xf>
    <xf numFmtId="0" fontId="1" fillId="19" borderId="0" xfId="0" applyFont="1" applyFill="1" applyBorder="1" applyAlignment="1" applyProtection="1">
      <alignment horizontal="left"/>
    </xf>
    <xf numFmtId="49" fontId="1" fillId="0" borderId="1" xfId="0" applyNumberFormat="1" applyFont="1" applyFill="1" applyBorder="1" applyAlignment="1" applyProtection="1">
      <alignment horizontal="center"/>
      <protection locked="0"/>
    </xf>
    <xf numFmtId="0" fontId="1" fillId="0" borderId="4" xfId="0" applyFont="1" applyFill="1" applyBorder="1" applyProtection="1"/>
    <xf numFmtId="0" fontId="14" fillId="0" borderId="25" xfId="0" applyFont="1" applyFill="1" applyBorder="1" applyProtection="1"/>
    <xf numFmtId="0" fontId="1" fillId="5" borderId="25" xfId="0" applyFont="1" applyFill="1" applyBorder="1" applyProtection="1"/>
    <xf numFmtId="0" fontId="1" fillId="5" borderId="27" xfId="0" applyFont="1" applyFill="1" applyBorder="1" applyProtection="1"/>
    <xf numFmtId="0" fontId="0" fillId="0" borderId="0" xfId="0" quotePrefix="1"/>
    <xf numFmtId="0" fontId="0" fillId="0" borderId="0" xfId="0" applyNumberFormat="1"/>
    <xf numFmtId="0" fontId="17" fillId="0" borderId="0" xfId="28"/>
    <xf numFmtId="4" fontId="0" fillId="0" borderId="0" xfId="0" applyNumberFormat="1"/>
    <xf numFmtId="4" fontId="0" fillId="7" borderId="0" xfId="0" quotePrefix="1" applyNumberFormat="1" applyFill="1" applyAlignment="1">
      <alignment vertical="center" wrapText="1"/>
    </xf>
    <xf numFmtId="4" fontId="1" fillId="3" borderId="43" xfId="1" applyNumberFormat="1" applyFont="1" applyFill="1" applyBorder="1" applyAlignment="1" applyProtection="1">
      <alignment horizontal="center"/>
    </xf>
    <xf numFmtId="0" fontId="11" fillId="3" borderId="35" xfId="0" applyFont="1" applyFill="1" applyBorder="1" applyAlignment="1" applyProtection="1">
      <alignment horizontal="center"/>
    </xf>
    <xf numFmtId="2" fontId="1" fillId="3" borderId="20" xfId="0" applyNumberFormat="1" applyFont="1" applyFill="1" applyBorder="1" applyAlignment="1" applyProtection="1">
      <alignment horizontal="left"/>
    </xf>
    <xf numFmtId="2" fontId="1" fillId="3" borderId="21" xfId="0" applyNumberFormat="1" applyFont="1" applyFill="1" applyBorder="1" applyAlignment="1" applyProtection="1">
      <alignment horizontal="left"/>
    </xf>
    <xf numFmtId="2" fontId="1" fillId="3" borderId="22" xfId="0" applyNumberFormat="1" applyFont="1" applyFill="1" applyBorder="1" applyAlignment="1" applyProtection="1">
      <alignment horizontal="left"/>
    </xf>
    <xf numFmtId="1" fontId="1" fillId="4" borderId="20" xfId="0" applyNumberFormat="1" applyFont="1" applyFill="1" applyBorder="1" applyAlignment="1" applyProtection="1">
      <alignment horizontal="left"/>
    </xf>
    <xf numFmtId="1" fontId="1" fillId="4" borderId="21" xfId="0" applyNumberFormat="1" applyFont="1" applyFill="1" applyBorder="1" applyAlignment="1" applyProtection="1">
      <alignment horizontal="left"/>
    </xf>
    <xf numFmtId="1" fontId="1" fillId="4" borderId="22" xfId="0" applyNumberFormat="1" applyFont="1" applyFill="1" applyBorder="1" applyAlignment="1" applyProtection="1">
      <alignment horizontal="left"/>
    </xf>
    <xf numFmtId="0" fontId="1" fillId="3" borderId="20" xfId="0" applyFont="1" applyFill="1" applyBorder="1" applyAlignment="1" applyProtection="1">
      <alignment horizontal="center"/>
    </xf>
    <xf numFmtId="0" fontId="1" fillId="3" borderId="21" xfId="0" applyFont="1" applyFill="1" applyBorder="1" applyAlignment="1" applyProtection="1">
      <alignment horizontal="center"/>
    </xf>
    <xf numFmtId="0" fontId="1" fillId="3" borderId="22" xfId="0" applyFont="1" applyFill="1" applyBorder="1" applyAlignment="1" applyProtection="1">
      <alignment horizontal="center"/>
    </xf>
    <xf numFmtId="0" fontId="1" fillId="19" borderId="0" xfId="0" applyFont="1" applyFill="1" applyBorder="1" applyAlignment="1" applyProtection="1">
      <alignment horizontal="left"/>
    </xf>
    <xf numFmtId="0" fontId="1" fillId="19" borderId="16" xfId="0" applyFont="1" applyFill="1" applyBorder="1" applyAlignment="1" applyProtection="1">
      <alignment horizontal="left"/>
    </xf>
    <xf numFmtId="49" fontId="1" fillId="8" borderId="5" xfId="0" applyNumberFormat="1" applyFont="1" applyFill="1" applyBorder="1" applyAlignment="1" applyProtection="1">
      <alignment horizontal="left"/>
      <protection locked="0"/>
    </xf>
    <xf numFmtId="49" fontId="1" fillId="8" borderId="6" xfId="0" applyNumberFormat="1" applyFont="1" applyFill="1" applyBorder="1" applyAlignment="1" applyProtection="1">
      <alignment horizontal="left"/>
      <protection locked="0"/>
    </xf>
    <xf numFmtId="49" fontId="1" fillId="8" borderId="7" xfId="0" applyNumberFormat="1" applyFont="1" applyFill="1" applyBorder="1" applyAlignment="1" applyProtection="1">
      <alignment horizontal="left"/>
      <protection locked="0"/>
    </xf>
    <xf numFmtId="0" fontId="1" fillId="0" borderId="20" xfId="0" applyFont="1" applyFill="1" applyBorder="1" applyAlignment="1" applyProtection="1">
      <alignment horizontal="left"/>
      <protection locked="0"/>
    </xf>
    <xf numFmtId="0" fontId="1" fillId="0" borderId="21" xfId="0" applyFont="1" applyFill="1" applyBorder="1" applyAlignment="1" applyProtection="1">
      <alignment horizontal="left"/>
      <protection locked="0"/>
    </xf>
    <xf numFmtId="0" fontId="1" fillId="0" borderId="22" xfId="0" applyFont="1" applyFill="1" applyBorder="1" applyAlignment="1" applyProtection="1">
      <alignment horizontal="left"/>
      <protection locked="0"/>
    </xf>
    <xf numFmtId="4" fontId="1" fillId="19" borderId="20" xfId="0" applyNumberFormat="1" applyFont="1" applyFill="1" applyBorder="1" applyAlignment="1" applyProtection="1">
      <alignment horizontal="right"/>
    </xf>
    <xf numFmtId="4" fontId="1" fillId="19" borderId="22" xfId="0" applyNumberFormat="1" applyFont="1" applyFill="1" applyBorder="1" applyAlignment="1" applyProtection="1">
      <alignment horizontal="right"/>
    </xf>
    <xf numFmtId="4" fontId="3" fillId="19" borderId="20" xfId="0" applyNumberFormat="1" applyFont="1" applyFill="1" applyBorder="1" applyAlignment="1" applyProtection="1">
      <alignment horizontal="right"/>
    </xf>
    <xf numFmtId="4" fontId="3" fillId="19" borderId="21" xfId="0" applyNumberFormat="1" applyFont="1" applyFill="1" applyBorder="1" applyAlignment="1" applyProtection="1">
      <alignment horizontal="right"/>
    </xf>
    <xf numFmtId="9" fontId="1" fillId="19" borderId="31" xfId="1" applyFont="1" applyFill="1" applyBorder="1" applyAlignment="1" applyProtection="1">
      <alignment horizontal="left"/>
    </xf>
    <xf numFmtId="9" fontId="1" fillId="19" borderId="32" xfId="1" applyFont="1" applyFill="1" applyBorder="1" applyAlignment="1" applyProtection="1">
      <alignment horizontal="left"/>
    </xf>
    <xf numFmtId="0" fontId="1" fillId="0" borderId="32" xfId="0" applyFont="1" applyFill="1" applyBorder="1" applyAlignment="1" applyProtection="1">
      <alignment horizontal="left"/>
      <protection locked="0"/>
    </xf>
    <xf numFmtId="0" fontId="1" fillId="0" borderId="33" xfId="0" applyFont="1" applyFill="1" applyBorder="1" applyAlignment="1" applyProtection="1">
      <alignment horizontal="left"/>
      <protection locked="0"/>
    </xf>
    <xf numFmtId="0" fontId="1" fillId="0" borderId="34" xfId="0" applyFont="1" applyFill="1" applyBorder="1" applyAlignment="1" applyProtection="1">
      <alignment horizontal="left"/>
      <protection locked="0"/>
    </xf>
    <xf numFmtId="0" fontId="1" fillId="0" borderId="35" xfId="0" applyFont="1" applyFill="1" applyBorder="1" applyAlignment="1" applyProtection="1">
      <alignment horizontal="left"/>
      <protection locked="0"/>
    </xf>
    <xf numFmtId="0" fontId="1" fillId="0" borderId="36" xfId="0" applyFont="1" applyFill="1" applyBorder="1" applyAlignment="1" applyProtection="1">
      <alignment horizontal="left"/>
      <protection locked="0"/>
    </xf>
    <xf numFmtId="0" fontId="1" fillId="0" borderId="20" xfId="0" applyFont="1" applyFill="1" applyBorder="1" applyAlignment="1" applyProtection="1">
      <alignment horizontal="center"/>
      <protection locked="0"/>
    </xf>
    <xf numFmtId="0" fontId="1" fillId="0" borderId="22" xfId="0" applyFont="1" applyFill="1" applyBorder="1" applyAlignment="1" applyProtection="1">
      <alignment horizontal="center"/>
      <protection locked="0"/>
    </xf>
    <xf numFmtId="4" fontId="1" fillId="0" borderId="20" xfId="0" applyNumberFormat="1" applyFont="1" applyFill="1" applyBorder="1" applyAlignment="1" applyProtection="1">
      <alignment horizontal="right"/>
      <protection locked="0"/>
    </xf>
    <xf numFmtId="4" fontId="1" fillId="0" borderId="22" xfId="0" applyNumberFormat="1" applyFont="1" applyFill="1" applyBorder="1" applyAlignment="1" applyProtection="1">
      <alignment horizontal="right"/>
      <protection locked="0"/>
    </xf>
    <xf numFmtId="0" fontId="1" fillId="19" borderId="28" xfId="0" applyFont="1" applyFill="1" applyBorder="1" applyAlignment="1" applyProtection="1">
      <alignment horizontal="left"/>
    </xf>
    <xf numFmtId="0" fontId="1" fillId="19" borderId="21" xfId="0" applyFont="1" applyFill="1" applyBorder="1" applyAlignment="1" applyProtection="1">
      <alignment horizontal="left"/>
    </xf>
    <xf numFmtId="0" fontId="1" fillId="19" borderId="22" xfId="0" applyFont="1" applyFill="1" applyBorder="1" applyAlignment="1" applyProtection="1">
      <alignment horizontal="left"/>
    </xf>
    <xf numFmtId="0" fontId="1" fillId="19" borderId="11" xfId="0" applyFont="1" applyFill="1" applyBorder="1" applyAlignment="1" applyProtection="1">
      <alignment horizontal="left"/>
    </xf>
    <xf numFmtId="0" fontId="1" fillId="19" borderId="20" xfId="0" applyFont="1" applyFill="1" applyBorder="1" applyAlignment="1" applyProtection="1">
      <alignment horizontal="left"/>
    </xf>
    <xf numFmtId="0" fontId="1" fillId="0" borderId="5" xfId="0" applyFont="1" applyFill="1" applyBorder="1" applyAlignment="1" applyProtection="1">
      <alignment horizontal="left"/>
      <protection locked="0"/>
    </xf>
    <xf numFmtId="0" fontId="1" fillId="0" borderId="6" xfId="0" applyFont="1" applyFill="1" applyBorder="1" applyAlignment="1" applyProtection="1">
      <alignment horizontal="left"/>
      <protection locked="0"/>
    </xf>
    <xf numFmtId="0" fontId="1" fillId="0" borderId="7" xfId="0" applyFont="1" applyFill="1" applyBorder="1" applyAlignment="1" applyProtection="1">
      <alignment horizontal="left"/>
      <protection locked="0"/>
    </xf>
    <xf numFmtId="0" fontId="1" fillId="0" borderId="28" xfId="0" applyFont="1" applyFill="1" applyBorder="1" applyAlignment="1" applyProtection="1">
      <alignment horizontal="center"/>
      <protection locked="0"/>
    </xf>
    <xf numFmtId="0" fontId="1" fillId="3" borderId="5" xfId="0" applyFont="1" applyFill="1" applyBorder="1" applyAlignment="1" applyProtection="1">
      <alignment horizontal="left" vertical="top"/>
      <protection locked="0"/>
    </xf>
    <xf numFmtId="0" fontId="1" fillId="3" borderId="6" xfId="0" applyFont="1" applyFill="1" applyBorder="1" applyAlignment="1" applyProtection="1">
      <alignment horizontal="left" vertical="top"/>
      <protection locked="0"/>
    </xf>
    <xf numFmtId="0" fontId="1" fillId="3" borderId="7" xfId="0" applyFont="1" applyFill="1" applyBorder="1" applyAlignment="1" applyProtection="1">
      <alignment horizontal="left" vertical="top"/>
      <protection locked="0"/>
    </xf>
    <xf numFmtId="0" fontId="8" fillId="3" borderId="28" xfId="0" applyFont="1" applyFill="1" applyBorder="1" applyAlignment="1" applyProtection="1">
      <alignment horizontal="center"/>
    </xf>
    <xf numFmtId="0" fontId="8" fillId="3" borderId="21" xfId="0" applyFont="1" applyFill="1" applyBorder="1" applyAlignment="1" applyProtection="1">
      <alignment horizontal="center"/>
    </xf>
    <xf numFmtId="0" fontId="8" fillId="3" borderId="22" xfId="0" applyFont="1" applyFill="1" applyBorder="1" applyAlignment="1" applyProtection="1">
      <alignment horizontal="center"/>
    </xf>
    <xf numFmtId="0" fontId="1" fillId="8" borderId="5" xfId="0" applyFont="1" applyFill="1" applyBorder="1" applyAlignment="1" applyProtection="1">
      <alignment horizontal="left"/>
      <protection locked="0"/>
    </xf>
    <xf numFmtId="0" fontId="1" fillId="8" borderId="6" xfId="0" applyFont="1" applyFill="1" applyBorder="1" applyAlignment="1" applyProtection="1">
      <alignment horizontal="left"/>
      <protection locked="0"/>
    </xf>
    <xf numFmtId="0" fontId="1" fillId="8" borderId="7" xfId="0" applyFont="1" applyFill="1" applyBorder="1" applyAlignment="1" applyProtection="1">
      <alignment horizontal="left"/>
      <protection locked="0"/>
    </xf>
    <xf numFmtId="0" fontId="8" fillId="19" borderId="28" xfId="0" applyFont="1" applyFill="1" applyBorder="1" applyAlignment="1" applyProtection="1">
      <alignment horizontal="center"/>
    </xf>
    <xf numFmtId="0" fontId="8" fillId="19" borderId="22" xfId="0" applyFont="1" applyFill="1" applyBorder="1" applyAlignment="1" applyProtection="1">
      <alignment horizontal="center"/>
    </xf>
    <xf numFmtId="0" fontId="8" fillId="19" borderId="20" xfId="0" applyFont="1" applyFill="1" applyBorder="1" applyAlignment="1" applyProtection="1">
      <alignment horizontal="center"/>
    </xf>
    <xf numFmtId="0" fontId="8" fillId="19" borderId="21" xfId="0" applyFont="1" applyFill="1" applyBorder="1" applyAlignment="1" applyProtection="1">
      <alignment horizontal="center"/>
    </xf>
    <xf numFmtId="0" fontId="6" fillId="19" borderId="0" xfId="0" applyFont="1" applyFill="1" applyBorder="1" applyAlignment="1" applyProtection="1">
      <alignment horizontal="center"/>
    </xf>
    <xf numFmtId="49" fontId="1" fillId="8" borderId="5" xfId="0" applyNumberFormat="1" applyFont="1" applyFill="1" applyBorder="1" applyAlignment="1" applyProtection="1">
      <alignment horizontal="center"/>
      <protection locked="0"/>
    </xf>
    <xf numFmtId="49" fontId="1" fillId="8" borderId="7" xfId="0" applyNumberFormat="1" applyFont="1" applyFill="1" applyBorder="1" applyAlignment="1" applyProtection="1">
      <alignment horizontal="center"/>
      <protection locked="0"/>
    </xf>
    <xf numFmtId="0" fontId="5" fillId="3" borderId="5" xfId="0" applyFont="1" applyFill="1" applyBorder="1" applyAlignment="1" applyProtection="1">
      <alignment horizontal="left"/>
    </xf>
    <xf numFmtId="0" fontId="5" fillId="3" borderId="6" xfId="0" applyFont="1" applyFill="1" applyBorder="1" applyAlignment="1" applyProtection="1">
      <alignment horizontal="left"/>
    </xf>
    <xf numFmtId="0" fontId="5" fillId="3" borderId="7" xfId="0" applyFont="1" applyFill="1" applyBorder="1" applyAlignment="1" applyProtection="1">
      <alignment horizontal="left"/>
    </xf>
    <xf numFmtId="0" fontId="1" fillId="19" borderId="40" xfId="0" applyFont="1" applyFill="1" applyBorder="1" applyAlignment="1" applyProtection="1">
      <alignment horizontal="left"/>
    </xf>
    <xf numFmtId="0" fontId="10" fillId="5" borderId="3" xfId="0" applyFont="1" applyFill="1" applyBorder="1" applyAlignment="1" applyProtection="1">
      <alignment horizontal="center" vertical="top" wrapText="1"/>
    </xf>
    <xf numFmtId="0" fontId="10" fillId="5" borderId="3" xfId="0" applyFont="1" applyFill="1" applyBorder="1" applyAlignment="1" applyProtection="1">
      <alignment horizontal="center" vertical="top"/>
    </xf>
    <xf numFmtId="4" fontId="1" fillId="4" borderId="20" xfId="0" applyNumberFormat="1" applyFont="1" applyFill="1" applyBorder="1" applyAlignment="1" applyProtection="1">
      <alignment horizontal="right"/>
    </xf>
    <xf numFmtId="4" fontId="1" fillId="4" borderId="21" xfId="0" applyNumberFormat="1" applyFont="1" applyFill="1" applyBorder="1" applyAlignment="1" applyProtection="1">
      <alignment horizontal="right"/>
    </xf>
    <xf numFmtId="4" fontId="1" fillId="4" borderId="22" xfId="0" applyNumberFormat="1" applyFont="1" applyFill="1" applyBorder="1" applyAlignment="1" applyProtection="1">
      <alignment horizontal="right"/>
    </xf>
    <xf numFmtId="0" fontId="1" fillId="19" borderId="38" xfId="0" applyFont="1" applyFill="1" applyBorder="1" applyAlignment="1" applyProtection="1">
      <alignment horizontal="left" vertical="top"/>
    </xf>
    <xf numFmtId="0" fontId="1" fillId="19" borderId="13" xfId="0" applyFont="1" applyFill="1" applyBorder="1" applyAlignment="1" applyProtection="1">
      <alignment horizontal="left" vertical="top"/>
    </xf>
    <xf numFmtId="0" fontId="1" fillId="19" borderId="14" xfId="0" applyFont="1" applyFill="1" applyBorder="1" applyAlignment="1" applyProtection="1">
      <alignment horizontal="left" vertical="top"/>
    </xf>
    <xf numFmtId="0" fontId="1" fillId="19" borderId="39" xfId="0" applyFont="1" applyFill="1" applyBorder="1" applyAlignment="1" applyProtection="1">
      <alignment horizontal="left" vertical="top"/>
    </xf>
    <xf numFmtId="0" fontId="1" fillId="19" borderId="18" xfId="0" applyFont="1" applyFill="1" applyBorder="1" applyAlignment="1" applyProtection="1">
      <alignment horizontal="left" vertical="top"/>
    </xf>
    <xf numFmtId="0" fontId="1" fillId="19" borderId="19" xfId="0" applyFont="1" applyFill="1" applyBorder="1" applyAlignment="1" applyProtection="1">
      <alignment horizontal="left" vertical="top"/>
    </xf>
    <xf numFmtId="0" fontId="1" fillId="0" borderId="12" xfId="0" applyFont="1" applyFill="1" applyBorder="1" applyAlignment="1" applyProtection="1">
      <alignment horizontal="left" vertical="top"/>
      <protection locked="0"/>
    </xf>
    <xf numFmtId="0" fontId="1" fillId="0" borderId="13" xfId="0" applyFont="1" applyFill="1" applyBorder="1" applyAlignment="1" applyProtection="1">
      <alignment horizontal="left" vertical="top"/>
      <protection locked="0"/>
    </xf>
    <xf numFmtId="0" fontId="1" fillId="0" borderId="41" xfId="0" applyFont="1" applyFill="1" applyBorder="1" applyAlignment="1" applyProtection="1">
      <alignment horizontal="left" vertical="top"/>
      <protection locked="0"/>
    </xf>
    <xf numFmtId="0" fontId="1" fillId="0" borderId="17" xfId="0" applyFont="1" applyFill="1" applyBorder="1" applyAlignment="1" applyProtection="1">
      <alignment horizontal="left" vertical="top"/>
      <protection locked="0"/>
    </xf>
    <xf numFmtId="0" fontId="1" fillId="0" borderId="18" xfId="0" applyFont="1" applyFill="1" applyBorder="1" applyAlignment="1" applyProtection="1">
      <alignment horizontal="left" vertical="top"/>
      <protection locked="0"/>
    </xf>
    <xf numFmtId="0" fontId="1" fillId="0" borderId="42" xfId="0" applyFont="1" applyFill="1" applyBorder="1" applyAlignment="1" applyProtection="1">
      <alignment horizontal="left" vertical="top"/>
      <protection locked="0"/>
    </xf>
    <xf numFmtId="0" fontId="0" fillId="0" borderId="21" xfId="0" applyFill="1" applyBorder="1" applyAlignment="1" applyProtection="1">
      <alignment horizontal="left"/>
      <protection locked="0"/>
    </xf>
    <xf numFmtId="0" fontId="0" fillId="0" borderId="40" xfId="0" applyFill="1" applyBorder="1" applyAlignment="1" applyProtection="1">
      <alignment horizontal="left"/>
      <protection locked="0"/>
    </xf>
    <xf numFmtId="0" fontId="1" fillId="0" borderId="40" xfId="0" applyFont="1" applyFill="1" applyBorder="1" applyAlignment="1" applyProtection="1">
      <alignment horizontal="left"/>
      <protection locked="0"/>
    </xf>
    <xf numFmtId="0" fontId="8" fillId="19" borderId="4" xfId="0" applyFont="1" applyFill="1" applyBorder="1" applyAlignment="1" applyProtection="1">
      <alignment horizontal="center"/>
    </xf>
    <xf numFmtId="0" fontId="8" fillId="19" borderId="0" xfId="0" applyFont="1" applyFill="1" applyBorder="1" applyAlignment="1" applyProtection="1">
      <alignment horizontal="center"/>
    </xf>
    <xf numFmtId="0" fontId="9" fillId="19" borderId="11" xfId="0" applyFont="1" applyFill="1" applyBorder="1" applyAlignment="1" applyProtection="1">
      <alignment horizontal="center"/>
    </xf>
    <xf numFmtId="0" fontId="8" fillId="19" borderId="11" xfId="0" applyFont="1" applyFill="1" applyBorder="1" applyAlignment="1" applyProtection="1">
      <alignment horizontal="center"/>
    </xf>
    <xf numFmtId="4" fontId="3" fillId="19" borderId="11" xfId="0" applyNumberFormat="1" applyFont="1" applyFill="1" applyBorder="1" applyAlignment="1" applyProtection="1">
      <alignment horizontal="right"/>
    </xf>
    <xf numFmtId="4" fontId="1" fillId="19" borderId="11" xfId="0" applyNumberFormat="1" applyFont="1" applyFill="1" applyBorder="1" applyAlignment="1" applyProtection="1">
      <alignment horizontal="right"/>
    </xf>
    <xf numFmtId="0" fontId="8" fillId="3" borderId="20" xfId="0" applyFont="1" applyFill="1" applyBorder="1" applyAlignment="1" applyProtection="1">
      <alignment horizontal="center"/>
    </xf>
    <xf numFmtId="0" fontId="1" fillId="4" borderId="28" xfId="0" applyFont="1" applyFill="1" applyBorder="1" applyAlignment="1" applyProtection="1">
      <alignment horizontal="left"/>
      <protection locked="0"/>
    </xf>
    <xf numFmtId="0" fontId="1" fillId="4" borderId="21" xfId="0" applyFont="1" applyFill="1" applyBorder="1" applyAlignment="1" applyProtection="1">
      <alignment horizontal="left"/>
      <protection locked="0"/>
    </xf>
    <xf numFmtId="0" fontId="1" fillId="4" borderId="22" xfId="0" applyFont="1" applyFill="1" applyBorder="1" applyAlignment="1" applyProtection="1">
      <alignment horizontal="left"/>
      <protection locked="0"/>
    </xf>
    <xf numFmtId="0" fontId="1" fillId="19" borderId="38" xfId="0" applyFont="1" applyFill="1" applyBorder="1" applyAlignment="1" applyProtection="1">
      <alignment horizontal="left" vertical="center"/>
    </xf>
    <xf numFmtId="0" fontId="1" fillId="19" borderId="13" xfId="0" applyFont="1" applyFill="1" applyBorder="1" applyAlignment="1" applyProtection="1">
      <alignment horizontal="left" vertical="center"/>
    </xf>
    <xf numFmtId="0" fontId="1" fillId="19" borderId="14" xfId="0" applyFont="1" applyFill="1" applyBorder="1" applyAlignment="1" applyProtection="1">
      <alignment horizontal="left" vertical="center"/>
    </xf>
    <xf numFmtId="0" fontId="1" fillId="19" borderId="4" xfId="0" applyFont="1" applyFill="1" applyBorder="1" applyAlignment="1" applyProtection="1">
      <alignment horizontal="left" vertical="center"/>
    </xf>
    <xf numFmtId="0" fontId="1" fillId="19" borderId="0" xfId="0" applyFont="1" applyFill="1" applyBorder="1" applyAlignment="1" applyProtection="1">
      <alignment horizontal="left" vertical="center"/>
    </xf>
    <xf numFmtId="0" fontId="1" fillId="19" borderId="16" xfId="0" applyFont="1" applyFill="1" applyBorder="1" applyAlignment="1" applyProtection="1">
      <alignment horizontal="left" vertical="center"/>
    </xf>
    <xf numFmtId="0" fontId="1" fillId="19" borderId="39" xfId="0" applyFont="1" applyFill="1" applyBorder="1" applyAlignment="1" applyProtection="1">
      <alignment horizontal="left" vertical="center"/>
    </xf>
    <xf numFmtId="0" fontId="1" fillId="19" borderId="18" xfId="0" applyFont="1" applyFill="1" applyBorder="1" applyAlignment="1" applyProtection="1">
      <alignment horizontal="left" vertical="center"/>
    </xf>
    <xf numFmtId="0" fontId="1" fillId="19" borderId="19" xfId="0" applyFont="1" applyFill="1" applyBorder="1" applyAlignment="1" applyProtection="1">
      <alignment horizontal="left" vertical="center"/>
    </xf>
    <xf numFmtId="1" fontId="1" fillId="19" borderId="20" xfId="0" applyNumberFormat="1" applyFont="1" applyFill="1" applyBorder="1" applyAlignment="1" applyProtection="1">
      <alignment horizontal="right"/>
    </xf>
    <xf numFmtId="1" fontId="1" fillId="19" borderId="22" xfId="0" applyNumberFormat="1" applyFont="1" applyFill="1" applyBorder="1" applyAlignment="1" applyProtection="1">
      <alignment horizontal="right"/>
    </xf>
    <xf numFmtId="9" fontId="1" fillId="19" borderId="20" xfId="1" applyFont="1" applyFill="1" applyBorder="1" applyAlignment="1" applyProtection="1">
      <alignment horizontal="right"/>
    </xf>
    <xf numFmtId="9" fontId="1" fillId="19" borderId="22" xfId="1" applyFont="1" applyFill="1" applyBorder="1" applyAlignment="1" applyProtection="1">
      <alignment horizontal="right"/>
    </xf>
    <xf numFmtId="0" fontId="8" fillId="19" borderId="37" xfId="0" applyFont="1" applyFill="1" applyBorder="1" applyAlignment="1" applyProtection="1">
      <alignment horizontal="left"/>
    </xf>
    <xf numFmtId="0" fontId="8" fillId="19" borderId="11" xfId="0" applyFont="1" applyFill="1" applyBorder="1" applyAlignment="1" applyProtection="1">
      <alignment horizontal="left"/>
    </xf>
    <xf numFmtId="0" fontId="9" fillId="3" borderId="11" xfId="0" applyFont="1" applyFill="1" applyBorder="1" applyAlignment="1" applyProtection="1">
      <alignment horizontal="center"/>
    </xf>
    <xf numFmtId="0" fontId="8" fillId="3" borderId="0" xfId="0" applyFont="1" applyFill="1" applyBorder="1" applyAlignment="1" applyProtection="1">
      <alignment horizontal="center"/>
    </xf>
    <xf numFmtId="0" fontId="1" fillId="4" borderId="20" xfId="0" applyFont="1" applyFill="1" applyBorder="1" applyAlignment="1" applyProtection="1">
      <alignment horizontal="center"/>
      <protection locked="0"/>
    </xf>
    <xf numFmtId="0" fontId="1" fillId="4" borderId="22" xfId="0" applyFont="1" applyFill="1" applyBorder="1" applyAlignment="1" applyProtection="1">
      <alignment horizontal="center"/>
      <protection locked="0"/>
    </xf>
    <xf numFmtId="4" fontId="1" fillId="4" borderId="20" xfId="0" applyNumberFormat="1" applyFont="1" applyFill="1" applyBorder="1" applyAlignment="1" applyProtection="1">
      <alignment horizontal="right"/>
      <protection locked="0"/>
    </xf>
    <xf numFmtId="4" fontId="1" fillId="4" borderId="22" xfId="0" applyNumberFormat="1" applyFont="1" applyFill="1" applyBorder="1" applyAlignment="1" applyProtection="1">
      <alignment horizontal="right"/>
      <protection locked="0"/>
    </xf>
    <xf numFmtId="4" fontId="3" fillId="3" borderId="11" xfId="0" applyNumberFormat="1" applyFont="1" applyFill="1" applyBorder="1" applyAlignment="1" applyProtection="1">
      <alignment horizontal="right"/>
    </xf>
    <xf numFmtId="4" fontId="1" fillId="3" borderId="0" xfId="0" applyNumberFormat="1" applyFont="1" applyFill="1" applyBorder="1" applyAlignment="1" applyProtection="1">
      <alignment horizontal="right"/>
    </xf>
    <xf numFmtId="0" fontId="6" fillId="19" borderId="3" xfId="0" applyFont="1" applyFill="1" applyBorder="1" applyAlignment="1" applyProtection="1">
      <alignment horizontal="center"/>
    </xf>
    <xf numFmtId="2" fontId="1" fillId="19" borderId="0" xfId="0" applyNumberFormat="1" applyFont="1" applyFill="1" applyBorder="1" applyAlignment="1" applyProtection="1">
      <alignment horizontal="right"/>
    </xf>
    <xf numFmtId="0" fontId="1" fillId="8" borderId="2" xfId="0" applyFont="1" applyFill="1" applyBorder="1" applyAlignment="1" applyProtection="1">
      <alignment horizontal="left" vertical="top" wrapText="1"/>
      <protection locked="0"/>
    </xf>
    <xf numFmtId="0" fontId="1" fillId="8" borderId="3" xfId="0" applyFont="1" applyFill="1" applyBorder="1" applyAlignment="1" applyProtection="1">
      <alignment horizontal="left" vertical="top" wrapText="1"/>
      <protection locked="0"/>
    </xf>
    <xf numFmtId="0" fontId="1" fillId="8" borderId="23" xfId="0" applyFont="1" applyFill="1" applyBorder="1" applyAlignment="1" applyProtection="1">
      <alignment horizontal="left" vertical="top" wrapText="1"/>
      <protection locked="0"/>
    </xf>
    <xf numFmtId="0" fontId="1" fillId="8" borderId="4" xfId="0" applyFont="1" applyFill="1" applyBorder="1" applyAlignment="1" applyProtection="1">
      <alignment horizontal="left" vertical="top" wrapText="1"/>
      <protection locked="0"/>
    </xf>
    <xf numFmtId="0" fontId="1" fillId="8" borderId="0" xfId="0" applyFont="1" applyFill="1" applyBorder="1" applyAlignment="1" applyProtection="1">
      <alignment horizontal="left" vertical="top" wrapText="1"/>
      <protection locked="0"/>
    </xf>
    <xf numFmtId="0" fontId="1" fillId="8" borderId="24" xfId="0" applyFont="1" applyFill="1" applyBorder="1" applyAlignment="1" applyProtection="1">
      <alignment horizontal="left" vertical="top" wrapText="1"/>
      <protection locked="0"/>
    </xf>
    <xf numFmtId="0" fontId="1" fillId="8" borderId="25" xfId="0" applyFont="1" applyFill="1" applyBorder="1" applyAlignment="1" applyProtection="1">
      <alignment horizontal="left" vertical="top" wrapText="1"/>
      <protection locked="0"/>
    </xf>
    <xf numFmtId="0" fontId="1" fillId="8" borderId="26" xfId="0" applyFont="1" applyFill="1" applyBorder="1" applyAlignment="1" applyProtection="1">
      <alignment horizontal="left" vertical="top" wrapText="1"/>
      <protection locked="0"/>
    </xf>
    <xf numFmtId="0" fontId="1" fillId="8" borderId="27" xfId="0" applyFont="1" applyFill="1" applyBorder="1" applyAlignment="1" applyProtection="1">
      <alignment horizontal="left" vertical="top" wrapText="1"/>
      <protection locked="0"/>
    </xf>
    <xf numFmtId="49" fontId="1" fillId="0" borderId="5" xfId="0" applyNumberFormat="1" applyFont="1" applyFill="1" applyBorder="1" applyAlignment="1" applyProtection="1">
      <alignment horizontal="center"/>
      <protection locked="0"/>
    </xf>
    <xf numFmtId="49" fontId="1" fillId="0" borderId="7" xfId="0" applyNumberFormat="1" applyFont="1" applyFill="1" applyBorder="1" applyAlignment="1" applyProtection="1">
      <alignment horizontal="center"/>
      <protection locked="0"/>
    </xf>
    <xf numFmtId="0" fontId="9" fillId="19" borderId="20" xfId="0" applyFont="1" applyFill="1" applyBorder="1" applyAlignment="1" applyProtection="1">
      <alignment horizontal="center"/>
    </xf>
    <xf numFmtId="0" fontId="9" fillId="19" borderId="21" xfId="0" applyFont="1" applyFill="1" applyBorder="1" applyAlignment="1" applyProtection="1">
      <alignment horizontal="center"/>
    </xf>
    <xf numFmtId="0" fontId="8" fillId="19" borderId="28" xfId="0" applyFont="1" applyFill="1" applyBorder="1" applyAlignment="1" applyProtection="1">
      <alignment horizontal="left"/>
    </xf>
    <xf numFmtId="0" fontId="8" fillId="19" borderId="21" xfId="0" applyFont="1" applyFill="1" applyBorder="1" applyAlignment="1" applyProtection="1">
      <alignment horizontal="left"/>
    </xf>
    <xf numFmtId="0" fontId="8" fillId="19" borderId="22" xfId="0" applyFont="1" applyFill="1" applyBorder="1" applyAlignment="1" applyProtection="1">
      <alignment horizontal="left"/>
    </xf>
  </cellXfs>
  <cellStyles count="29">
    <cellStyle name="20 % - Markeringsfarve1" xfId="3" xr:uid="{00000000-0005-0000-0000-000000000000}"/>
    <cellStyle name="20 % - Markeringsfarve2" xfId="4" xr:uid="{00000000-0005-0000-0000-000001000000}"/>
    <cellStyle name="20 % - Markeringsfarve3" xfId="5" xr:uid="{00000000-0005-0000-0000-000002000000}"/>
    <cellStyle name="20 % - Markeringsfarve4" xfId="6" xr:uid="{00000000-0005-0000-0000-000003000000}"/>
    <cellStyle name="20 % - Markeringsfarve5" xfId="7" xr:uid="{00000000-0005-0000-0000-000004000000}"/>
    <cellStyle name="20 % - Markeringsfarve6" xfId="8" xr:uid="{00000000-0005-0000-0000-000005000000}"/>
    <cellStyle name="40 % - Markeringsfarve1" xfId="9" xr:uid="{00000000-0005-0000-0000-000006000000}"/>
    <cellStyle name="40 % - Markeringsfarve2" xfId="10" xr:uid="{00000000-0005-0000-0000-000007000000}"/>
    <cellStyle name="40 % - Markeringsfarve3" xfId="11" xr:uid="{00000000-0005-0000-0000-000008000000}"/>
    <cellStyle name="40 % - Markeringsfarve4" xfId="12" xr:uid="{00000000-0005-0000-0000-000009000000}"/>
    <cellStyle name="40 % - Markeringsfarve5" xfId="13" xr:uid="{00000000-0005-0000-0000-00000A000000}"/>
    <cellStyle name="40 % - Markeringsfarve6" xfId="14" xr:uid="{00000000-0005-0000-0000-00000B000000}"/>
    <cellStyle name="60 % - Markeringsfarve1" xfId="15" xr:uid="{00000000-0005-0000-0000-00000C000000}"/>
    <cellStyle name="60 % - Markeringsfarve2" xfId="16" xr:uid="{00000000-0005-0000-0000-00000D000000}"/>
    <cellStyle name="60 % - Markeringsfarve3" xfId="17" xr:uid="{00000000-0005-0000-0000-00000E000000}"/>
    <cellStyle name="60 % - Markeringsfarve4" xfId="18" xr:uid="{00000000-0005-0000-0000-00000F000000}"/>
    <cellStyle name="60 % - Markeringsfarve5" xfId="19" xr:uid="{00000000-0005-0000-0000-000010000000}"/>
    <cellStyle name="60 % - Markeringsfarve6" xfId="20" xr:uid="{00000000-0005-0000-0000-000011000000}"/>
    <cellStyle name="Comma" xfId="2" builtinId="3"/>
    <cellStyle name="Kontroller celle" xfId="21" xr:uid="{00000000-0005-0000-0000-000013000000}"/>
    <cellStyle name="Markeringsfarve1" xfId="22" xr:uid="{00000000-0005-0000-0000-000014000000}"/>
    <cellStyle name="Markeringsfarve2" xfId="23" xr:uid="{00000000-0005-0000-0000-000015000000}"/>
    <cellStyle name="Markeringsfarve3" xfId="24" xr:uid="{00000000-0005-0000-0000-000016000000}"/>
    <cellStyle name="Markeringsfarve4" xfId="25" xr:uid="{00000000-0005-0000-0000-000017000000}"/>
    <cellStyle name="Markeringsfarve5" xfId="26" xr:uid="{00000000-0005-0000-0000-000018000000}"/>
    <cellStyle name="Markeringsfarve6" xfId="27" xr:uid="{00000000-0005-0000-0000-000019000000}"/>
    <cellStyle name="Normal" xfId="0" builtinId="0"/>
    <cellStyle name="Normal_Data" xfId="28" xr:uid="{00000000-0005-0000-0000-00001B000000}"/>
    <cellStyle name="Per cent" xfId="1" builtinId="5"/>
  </cellStyles>
  <dxfs count="4">
    <dxf>
      <numFmt numFmtId="0" formatCode="General"/>
    </dxf>
    <dxf>
      <font>
        <color theme="3" tint="0.39994506668294322"/>
      </font>
    </dxf>
    <dxf>
      <font>
        <color theme="3" tint="0.39994506668294322"/>
      </font>
    </dxf>
    <dxf>
      <fill>
        <patternFill>
          <bgColor theme="2" tint="-9.9948118533890809E-2"/>
        </patternFill>
      </fill>
    </dxf>
  </dxfs>
  <tableStyles count="0" defaultTableStyle="TableStyleMedium2" defaultPivotStyle="PivotStyleLight16"/>
  <colors>
    <mruColors>
      <color rgb="FFA5FD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9</xdr:row>
          <xdr:rowOff>0</xdr:rowOff>
        </xdr:from>
        <xdr:to>
          <xdr:col>12</xdr:col>
          <xdr:colOff>63500</xdr:colOff>
          <xdr:row>9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9</xdr:row>
          <xdr:rowOff>0</xdr:rowOff>
        </xdr:from>
        <xdr:to>
          <xdr:col>12</xdr:col>
          <xdr:colOff>63500</xdr:colOff>
          <xdr:row>9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3</xdr:row>
          <xdr:rowOff>0</xdr:rowOff>
        </xdr:from>
        <xdr:to>
          <xdr:col>10</xdr:col>
          <xdr:colOff>38100</xdr:colOff>
          <xdr:row>3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9</xdr:row>
          <xdr:rowOff>0</xdr:rowOff>
        </xdr:from>
        <xdr:to>
          <xdr:col>13</xdr:col>
          <xdr:colOff>63500</xdr:colOff>
          <xdr:row>9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9</xdr:row>
          <xdr:rowOff>0</xdr:rowOff>
        </xdr:from>
        <xdr:to>
          <xdr:col>13</xdr:col>
          <xdr:colOff>76200</xdr:colOff>
          <xdr:row>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Knap 37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9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Knap 38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9</xdr:row>
          <xdr:rowOff>0</xdr:rowOff>
        </xdr:from>
        <xdr:to>
          <xdr:col>14</xdr:col>
          <xdr:colOff>266700</xdr:colOff>
          <xdr:row>9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Knap 39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88900</xdr:colOff>
          <xdr:row>9</xdr:row>
          <xdr:rowOff>0</xdr:rowOff>
        </xdr:from>
        <xdr:to>
          <xdr:col>13</xdr:col>
          <xdr:colOff>38100</xdr:colOff>
          <xdr:row>9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Knap 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9</xdr:row>
          <xdr:rowOff>0</xdr:rowOff>
        </xdr:from>
        <xdr:to>
          <xdr:col>13</xdr:col>
          <xdr:colOff>101600</xdr:colOff>
          <xdr:row>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Knap 41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7</xdr:row>
          <xdr:rowOff>0</xdr:rowOff>
        </xdr:from>
        <xdr:to>
          <xdr:col>10</xdr:col>
          <xdr:colOff>38100</xdr:colOff>
          <xdr:row>8</xdr:row>
          <xdr:rowOff>0</xdr:rowOff>
        </xdr:to>
        <xdr:sp macro="" textlink="">
          <xdr:nvSpPr>
            <xdr:cNvPr id="1068" name="Button1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7</xdr:row>
          <xdr:rowOff>0</xdr:rowOff>
        </xdr:from>
        <xdr:to>
          <xdr:col>13</xdr:col>
          <xdr:colOff>25400</xdr:colOff>
          <xdr:row>8</xdr:row>
          <xdr:rowOff>0</xdr:rowOff>
        </xdr:to>
        <xdr:sp macro="" textlink="">
          <xdr:nvSpPr>
            <xdr:cNvPr id="1069" name="Button2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127000</xdr:colOff>
          <xdr:row>9</xdr:row>
          <xdr:rowOff>0</xdr:rowOff>
        </xdr:from>
        <xdr:to>
          <xdr:col>14</xdr:col>
          <xdr:colOff>215900</xdr:colOff>
          <xdr:row>9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Knap 46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152400</xdr:colOff>
          <xdr:row>107</xdr:row>
          <xdr:rowOff>63500</xdr:rowOff>
        </xdr:from>
        <xdr:to>
          <xdr:col>31</xdr:col>
          <xdr:colOff>177800</xdr:colOff>
          <xdr:row>110</xdr:row>
          <xdr:rowOff>63500</xdr:rowOff>
        </xdr:to>
        <xdr:sp macro="" textlink="">
          <xdr:nvSpPr>
            <xdr:cNvPr id="1074" name="Button4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Done!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152400</xdr:colOff>
          <xdr:row>104</xdr:row>
          <xdr:rowOff>76200</xdr:rowOff>
        </xdr:from>
        <xdr:to>
          <xdr:col>31</xdr:col>
          <xdr:colOff>177800</xdr:colOff>
          <xdr:row>106</xdr:row>
          <xdr:rowOff>76200</xdr:rowOff>
        </xdr:to>
        <xdr:sp macro="" textlink="">
          <xdr:nvSpPr>
            <xdr:cNvPr id="1075" name="Button3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 dimensions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7</xdr:row>
          <xdr:rowOff>0</xdr:rowOff>
        </xdr:from>
        <xdr:to>
          <xdr:col>10</xdr:col>
          <xdr:colOff>38100</xdr:colOff>
          <xdr:row>8</xdr:row>
          <xdr:rowOff>0</xdr:rowOff>
        </xdr:to>
        <xdr:sp macro="" textlink="">
          <xdr:nvSpPr>
            <xdr:cNvPr id="1078" name="Knap1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7</xdr:row>
          <xdr:rowOff>0</xdr:rowOff>
        </xdr:from>
        <xdr:to>
          <xdr:col>13</xdr:col>
          <xdr:colOff>63500</xdr:colOff>
          <xdr:row>8</xdr:row>
          <xdr:rowOff>0</xdr:rowOff>
        </xdr:to>
        <xdr:sp macro="" textlink="">
          <xdr:nvSpPr>
            <xdr:cNvPr id="1079" name="Knap2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2" displayName="Tabel2" ref="A1:H205" totalsRowShown="0">
  <autoFilter ref="A1:H205" xr:uid="{00000000-0009-0000-0100-000002000000}"/>
  <tableColumns count="8">
    <tableColumn id="1" xr3:uid="{00000000-0010-0000-0000-000001000000}" name="Country Code"/>
    <tableColumn id="10" xr3:uid="{00000000-0010-0000-0000-00000A000000}" name="Country Name"/>
    <tableColumn id="3" xr3:uid="{00000000-0010-0000-0000-000003000000}" name="Prefered currency"/>
    <tableColumn id="11" xr3:uid="{00000000-0010-0000-0000-00000B000000}" name="Bank Category"/>
    <tableColumn id="5" xr3:uid="{00000000-0010-0000-0000-000005000000}" name="IBAN length"/>
    <tableColumn id="2" xr3:uid="{00000000-0010-0000-0000-000002000000}" name="Rate"/>
    <tableColumn id="4" xr3:uid="{00000000-0010-0000-0000-000004000000}" name="Reduction"/>
    <tableColumn id="6" xr3:uid="{00000000-0010-0000-0000-000006000000}" name="Kolonne1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pageSetUpPr fitToPage="1"/>
  </sheetPr>
  <dimension ref="A1:AO113"/>
  <sheetViews>
    <sheetView showGridLines="0" showZeros="0" tabSelected="1" defaultGridColor="0" colorId="8" zoomScale="120" zoomScaleNormal="120" workbookViewId="0">
      <selection activeCell="AV48" sqref="AV48"/>
    </sheetView>
  </sheetViews>
  <sheetFormatPr baseColWidth="10" defaultColWidth="9.1640625" defaultRowHeight="11"/>
  <cols>
    <col min="1" max="1" width="1.83203125" style="1" customWidth="1"/>
    <col min="2" max="4" width="4" style="1" customWidth="1"/>
    <col min="5" max="5" width="4.5" style="1" customWidth="1"/>
    <col min="6" max="32" width="4" style="1" customWidth="1"/>
    <col min="33" max="33" width="1.83203125" style="1" customWidth="1"/>
    <col min="34" max="34" width="9.1640625" style="1" hidden="1" customWidth="1"/>
    <col min="35" max="35" width="10.1640625" style="1" hidden="1" customWidth="1"/>
    <col min="36" max="36" width="9.1640625" style="1" hidden="1" customWidth="1"/>
    <col min="37" max="37" width="20.5" style="1" hidden="1" customWidth="1"/>
    <col min="38" max="41" width="9.1640625" style="1" hidden="1" customWidth="1"/>
    <col min="42" max="45" width="0" style="1" hidden="1" customWidth="1"/>
    <col min="46" max="16384" width="9.1640625" style="1"/>
  </cols>
  <sheetData>
    <row r="1" spans="1:35" ht="38.25" customHeight="1" thickBot="1">
      <c r="A1" s="70"/>
      <c r="B1" s="184" t="s">
        <v>679</v>
      </c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85"/>
      <c r="AA1" s="185"/>
      <c r="AB1" s="185"/>
      <c r="AC1" s="185"/>
      <c r="AD1" s="185"/>
      <c r="AE1" s="185"/>
      <c r="AF1" s="185"/>
      <c r="AG1" s="71"/>
    </row>
    <row r="2" spans="1:35" ht="12" customHeight="1" thickBot="1">
      <c r="A2" s="72"/>
      <c r="B2" s="32" t="s">
        <v>334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4"/>
      <c r="AG2" s="73"/>
    </row>
    <row r="3" spans="1:35" ht="12" customHeight="1" thickBot="1">
      <c r="A3" s="72"/>
      <c r="B3" s="35" t="s">
        <v>335</v>
      </c>
      <c r="C3" s="36"/>
      <c r="D3" s="164" t="s">
        <v>680</v>
      </c>
      <c r="E3" s="165"/>
      <c r="F3" s="165"/>
      <c r="G3" s="165"/>
      <c r="H3" s="165"/>
      <c r="I3" s="165"/>
      <c r="J3" s="166"/>
      <c r="K3" s="36"/>
      <c r="L3" s="37"/>
      <c r="M3" s="36" t="s">
        <v>336</v>
      </c>
      <c r="N3" s="36"/>
      <c r="O3" s="164" t="s">
        <v>681</v>
      </c>
      <c r="P3" s="165"/>
      <c r="Q3" s="165"/>
      <c r="R3" s="165"/>
      <c r="S3" s="165"/>
      <c r="T3" s="165"/>
      <c r="U3" s="165"/>
      <c r="V3" s="165"/>
      <c r="W3" s="166"/>
      <c r="X3" s="36"/>
      <c r="Y3" s="36"/>
      <c r="Z3" s="36"/>
      <c r="AA3" s="36"/>
      <c r="AB3" s="36"/>
      <c r="AC3" s="36"/>
      <c r="AD3" s="36"/>
      <c r="AE3" s="36"/>
      <c r="AF3" s="38"/>
      <c r="AG3" s="73"/>
    </row>
    <row r="4" spans="1:35" ht="3" hidden="1" customHeight="1">
      <c r="A4" s="72"/>
      <c r="B4" s="39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8"/>
      <c r="AG4" s="73"/>
    </row>
    <row r="5" spans="1:35" ht="12" hidden="1" customHeight="1">
      <c r="A5" s="72"/>
      <c r="B5" s="40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8"/>
      <c r="AG5" s="73"/>
      <c r="AI5" s="1" t="s">
        <v>338</v>
      </c>
    </row>
    <row r="6" spans="1:35" ht="3" hidden="1" customHeight="1">
      <c r="A6" s="72"/>
      <c r="B6" s="39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8"/>
      <c r="AG6" s="73"/>
      <c r="AI6" s="1">
        <f>IF(I5="Yes",1,2)</f>
        <v>2</v>
      </c>
    </row>
    <row r="7" spans="1:35" ht="3" hidden="1" customHeight="1">
      <c r="A7" s="72"/>
      <c r="B7" s="39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8"/>
      <c r="AG7" s="73"/>
    </row>
    <row r="8" spans="1:35" ht="12" hidden="1" customHeight="1">
      <c r="A8" s="72"/>
      <c r="B8" s="40" t="s">
        <v>337</v>
      </c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8"/>
      <c r="AG8" s="73"/>
    </row>
    <row r="9" spans="1:35" ht="3" customHeight="1" thickBot="1">
      <c r="A9" s="72"/>
      <c r="B9" s="41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3"/>
      <c r="AG9" s="73"/>
    </row>
    <row r="10" spans="1:35" ht="3" customHeight="1" thickBot="1">
      <c r="A10" s="72"/>
      <c r="B10" s="44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73"/>
    </row>
    <row r="11" spans="1:35" ht="12" customHeight="1">
      <c r="A11" s="72"/>
      <c r="B11" s="32" t="s">
        <v>249</v>
      </c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7"/>
      <c r="AG11" s="73"/>
    </row>
    <row r="12" spans="1:35" ht="12" customHeight="1">
      <c r="A12" s="72"/>
      <c r="B12" s="167" t="s">
        <v>304</v>
      </c>
      <c r="C12" s="168"/>
      <c r="D12" s="168"/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9"/>
      <c r="X12" s="210" t="s">
        <v>257</v>
      </c>
      <c r="Y12" s="169"/>
      <c r="Z12" s="210" t="s">
        <v>256</v>
      </c>
      <c r="AA12" s="169"/>
      <c r="AB12" s="229" t="s">
        <v>198</v>
      </c>
      <c r="AC12" s="229"/>
      <c r="AD12" s="230"/>
      <c r="AE12" s="230"/>
      <c r="AF12" s="48"/>
      <c r="AG12" s="73"/>
    </row>
    <row r="13" spans="1:35" ht="12" customHeight="1">
      <c r="A13" s="72"/>
      <c r="B13" s="211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2"/>
      <c r="P13" s="212"/>
      <c r="Q13" s="212"/>
      <c r="R13" s="212"/>
      <c r="S13" s="212"/>
      <c r="T13" s="212"/>
      <c r="U13" s="212"/>
      <c r="V13" s="212"/>
      <c r="W13" s="213"/>
      <c r="X13" s="231" t="s">
        <v>343</v>
      </c>
      <c r="Y13" s="232"/>
      <c r="Z13" s="233"/>
      <c r="AA13" s="234"/>
      <c r="AB13" s="235">
        <f>IF(X13="*",0,((Z13*AI13)/100))</f>
        <v>0</v>
      </c>
      <c r="AC13" s="235"/>
      <c r="AD13" s="236"/>
      <c r="AE13" s="236"/>
      <c r="AF13" s="48"/>
      <c r="AG13" s="73"/>
      <c r="AI13" s="1" t="str">
        <f>VLOOKUP(X13,Valutakurser,3,FALSE)</f>
        <v>Kurs</v>
      </c>
    </row>
    <row r="14" spans="1:35" ht="3" customHeight="1" thickBot="1">
      <c r="A14" s="72"/>
      <c r="B14" s="49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1"/>
      <c r="AG14" s="73"/>
    </row>
    <row r="15" spans="1:35" ht="3" customHeight="1" thickBot="1">
      <c r="A15" s="72"/>
      <c r="B15" s="44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73"/>
    </row>
    <row r="16" spans="1:35" ht="12" customHeight="1" thickBot="1">
      <c r="A16" s="72"/>
      <c r="B16" s="56" t="s">
        <v>274</v>
      </c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109"/>
      <c r="Z16" s="109"/>
      <c r="AA16" s="237"/>
      <c r="AB16" s="237"/>
      <c r="AC16" s="57"/>
      <c r="AD16" s="237"/>
      <c r="AE16" s="237"/>
      <c r="AF16" s="58"/>
      <c r="AG16" s="73"/>
    </row>
    <row r="17" spans="1:36" ht="12" customHeight="1" thickBot="1">
      <c r="A17" s="72"/>
      <c r="B17" s="67" t="s">
        <v>207</v>
      </c>
      <c r="C17" s="60"/>
      <c r="D17" s="60"/>
      <c r="E17" s="170"/>
      <c r="F17" s="171"/>
      <c r="G17" s="171"/>
      <c r="H17" s="171"/>
      <c r="I17" s="171"/>
      <c r="J17" s="171"/>
      <c r="K17" s="171"/>
      <c r="L17" s="171"/>
      <c r="M17" s="171"/>
      <c r="N17" s="172"/>
      <c r="O17" s="59"/>
      <c r="P17" s="60" t="s">
        <v>208</v>
      </c>
      <c r="Q17" s="60"/>
      <c r="R17" s="59"/>
      <c r="S17" s="170"/>
      <c r="T17" s="171"/>
      <c r="U17" s="171"/>
      <c r="V17" s="171"/>
      <c r="W17" s="171"/>
      <c r="X17" s="171"/>
      <c r="Y17" s="171"/>
      <c r="Z17" s="171"/>
      <c r="AA17" s="171"/>
      <c r="AB17" s="171"/>
      <c r="AC17" s="172"/>
      <c r="AD17" s="63"/>
      <c r="AE17" s="64"/>
      <c r="AF17" s="62"/>
      <c r="AG17" s="73"/>
      <c r="AH17" s="28"/>
      <c r="AJ17" s="2" t="s">
        <v>205</v>
      </c>
    </row>
    <row r="18" spans="1:36" ht="3" customHeight="1" thickBot="1">
      <c r="A18" s="72"/>
      <c r="B18" s="67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2"/>
      <c r="AG18" s="73"/>
      <c r="AH18" s="28"/>
      <c r="AJ18" s="3"/>
    </row>
    <row r="19" spans="1:36" ht="12" thickBot="1">
      <c r="A19" s="72"/>
      <c r="B19" s="67" t="s">
        <v>247</v>
      </c>
      <c r="C19" s="60"/>
      <c r="D19" s="60"/>
      <c r="E19" s="170"/>
      <c r="F19" s="171"/>
      <c r="G19" s="171"/>
      <c r="H19" s="171"/>
      <c r="I19" s="171"/>
      <c r="J19" s="171"/>
      <c r="K19" s="171"/>
      <c r="L19" s="171"/>
      <c r="M19" s="171"/>
      <c r="N19" s="172"/>
      <c r="O19" s="60"/>
      <c r="P19" s="60" t="s">
        <v>341</v>
      </c>
      <c r="Q19" s="60"/>
      <c r="R19" s="59"/>
      <c r="S19" s="170"/>
      <c r="T19" s="171"/>
      <c r="U19" s="171"/>
      <c r="V19" s="172"/>
      <c r="W19" s="60"/>
      <c r="X19" s="60" t="s">
        <v>253</v>
      </c>
      <c r="Y19" s="60"/>
      <c r="Z19" s="60"/>
      <c r="AA19" s="134"/>
      <c r="AB19" s="135"/>
      <c r="AC19" s="136"/>
      <c r="AD19" s="60"/>
      <c r="AE19" s="60"/>
      <c r="AF19" s="62"/>
      <c r="AG19" s="73"/>
      <c r="AH19" s="28"/>
      <c r="AJ19" s="4">
        <f>IF(AND(E21&lt;&gt;"*",E23="*"),VLOOKUP(E21,Data!A:E,5,FALSE),VLOOKUP(E23,Data!A:E,5,FALSE))</f>
        <v>22</v>
      </c>
    </row>
    <row r="20" spans="1:36" ht="12" customHeight="1" thickBot="1">
      <c r="A20" s="72"/>
      <c r="B20" s="67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107" t="s">
        <v>279</v>
      </c>
      <c r="T20" s="107" t="s">
        <v>280</v>
      </c>
      <c r="U20" s="107" t="s">
        <v>281</v>
      </c>
      <c r="V20" s="107"/>
      <c r="W20" s="60"/>
      <c r="X20" s="177" t="s">
        <v>315</v>
      </c>
      <c r="Y20" s="177"/>
      <c r="Z20" s="60"/>
      <c r="AA20" s="60"/>
      <c r="AB20" s="60"/>
      <c r="AC20" s="60"/>
      <c r="AD20" s="60"/>
      <c r="AE20" s="60"/>
      <c r="AF20" s="62"/>
      <c r="AG20" s="73"/>
    </row>
    <row r="21" spans="1:36" ht="12" customHeight="1" thickBot="1">
      <c r="A21" s="72"/>
      <c r="B21" s="67" t="s">
        <v>2</v>
      </c>
      <c r="C21" s="60"/>
      <c r="D21" s="60"/>
      <c r="E21" s="31" t="s">
        <v>489</v>
      </c>
      <c r="F21" s="60"/>
      <c r="G21" s="180" t="str">
        <f>IF(ISBLANK(E21),0,VLOOKUP(E21,Data!A:E,2,FALSE))</f>
        <v xml:space="preserve">Germany </v>
      </c>
      <c r="H21" s="181"/>
      <c r="I21" s="181"/>
      <c r="J21" s="181"/>
      <c r="K21" s="181"/>
      <c r="L21" s="181"/>
      <c r="M21" s="181"/>
      <c r="N21" s="182"/>
      <c r="O21" s="60"/>
      <c r="P21" s="60" t="s">
        <v>209</v>
      </c>
      <c r="Q21" s="60"/>
      <c r="R21" s="60"/>
      <c r="S21" s="31" t="s">
        <v>343</v>
      </c>
      <c r="T21" s="31" t="s">
        <v>343</v>
      </c>
      <c r="U21" s="178" t="s">
        <v>343</v>
      </c>
      <c r="V21" s="179"/>
      <c r="W21" s="63" t="s">
        <v>314</v>
      </c>
      <c r="X21" s="248"/>
      <c r="Y21" s="249"/>
      <c r="Z21" s="60"/>
      <c r="AA21" s="60"/>
      <c r="AB21" s="60"/>
      <c r="AC21" s="60"/>
      <c r="AD21" s="60"/>
      <c r="AE21" s="60"/>
      <c r="AF21" s="62"/>
      <c r="AG21" s="73"/>
      <c r="AI21" s="25" t="s">
        <v>248</v>
      </c>
      <c r="AJ21" s="26">
        <f>IFERROR(IF(E21="*",0,IF(AND(E21&lt;&gt;"*",E23="*"),VLOOKUP(E21,Data!A:E,4,FALSE),VLOOKUP(E23,Data!A:E,4,FALSE))),0)</f>
        <v>2</v>
      </c>
    </row>
    <row r="22" spans="1:36" ht="3" customHeight="1" thickBot="1">
      <c r="A22" s="72"/>
      <c r="B22" s="67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2"/>
      <c r="AG22" s="73"/>
    </row>
    <row r="23" spans="1:36" ht="12" customHeight="1" thickBot="1">
      <c r="A23" s="72"/>
      <c r="B23" s="67" t="s">
        <v>666</v>
      </c>
      <c r="C23" s="60"/>
      <c r="D23" s="60"/>
      <c r="E23" s="111" t="s">
        <v>343</v>
      </c>
      <c r="F23" s="60"/>
      <c r="G23" s="180" t="str">
        <f>IF(ISBLANK(E23),0,VLOOKUP(E23,Data!A:E,2,FALSE))</f>
        <v>Country Name</v>
      </c>
      <c r="H23" s="181"/>
      <c r="I23" s="181"/>
      <c r="J23" s="181"/>
      <c r="K23" s="181"/>
      <c r="L23" s="181"/>
      <c r="M23" s="181"/>
      <c r="N23" s="182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2"/>
      <c r="AG23" s="73"/>
      <c r="AI23" s="1" t="str">
        <f>IF(E21="*",0,IF(AND(E21&lt;&gt;"*",E23="*"),VLOOKUP(E21,Data!A:E,1,FALSE),VLOOKUP(E23,Data!A:E,1,FALSE)))</f>
        <v>DE</v>
      </c>
      <c r="AJ23" s="1" t="str">
        <f>IF(E21="*",0,IF(AND(E21&lt;&gt;"*",E23="*"),VLOOKUP(E21,Data!A:E,2,FALSE),VLOOKUP(E23,Data!A:E,2,FALSE)))</f>
        <v xml:space="preserve">Germany </v>
      </c>
    </row>
    <row r="24" spans="1:36" ht="3" customHeight="1" thickBot="1">
      <c r="A24" s="72"/>
      <c r="B24" s="66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5"/>
      <c r="AG24" s="73"/>
    </row>
    <row r="25" spans="1:36" ht="3" customHeight="1" thickBot="1">
      <c r="A25" s="72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3"/>
    </row>
    <row r="26" spans="1:36" ht="12" customHeight="1" thickBot="1">
      <c r="A26" s="72"/>
      <c r="B26" s="56" t="s">
        <v>273</v>
      </c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8"/>
      <c r="AG26" s="73"/>
      <c r="AI26" s="1" t="s">
        <v>667</v>
      </c>
      <c r="AJ26" s="69">
        <f>IFERROR(IF(E21="*",0,IF(AND(E21&lt;&gt;"*",E23="*"),VLOOKUP(E21,Data!A:E,4,FALSE),VLOOKUP(E23,Data!A:E,4,FALSE))),0)</f>
        <v>2</v>
      </c>
    </row>
    <row r="27" spans="1:36" ht="12" hidden="1" customHeight="1" thickBot="1">
      <c r="A27" s="72"/>
      <c r="B27" s="67" t="s">
        <v>250</v>
      </c>
      <c r="C27" s="60"/>
      <c r="D27" s="60"/>
      <c r="E27" s="132" t="s">
        <v>251</v>
      </c>
      <c r="F27" s="132"/>
      <c r="G27" s="134"/>
      <c r="H27" s="136"/>
      <c r="I27" s="60"/>
      <c r="J27" s="60" t="s">
        <v>4</v>
      </c>
      <c r="K27" s="60"/>
      <c r="L27" s="60"/>
      <c r="M27" s="134"/>
      <c r="N27" s="135"/>
      <c r="O27" s="135"/>
      <c r="P27" s="135"/>
      <c r="Q27" s="136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2"/>
      <c r="AG27" s="73"/>
    </row>
    <row r="28" spans="1:36" ht="3" hidden="1" customHeight="1" thickBot="1">
      <c r="A28" s="72"/>
      <c r="B28" s="67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2"/>
      <c r="AG28" s="73"/>
    </row>
    <row r="29" spans="1:36" ht="12" thickBot="1">
      <c r="A29" s="72"/>
      <c r="B29" s="67" t="s">
        <v>250</v>
      </c>
      <c r="C29" s="60"/>
      <c r="D29" s="60"/>
      <c r="E29" s="60" t="s">
        <v>0</v>
      </c>
      <c r="F29" s="60"/>
      <c r="G29" s="170"/>
      <c r="H29" s="171"/>
      <c r="I29" s="172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2"/>
      <c r="AG29" s="73"/>
    </row>
    <row r="30" spans="1:36" ht="3" customHeight="1" thickBot="1">
      <c r="A30" s="72"/>
      <c r="B30" s="67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2"/>
      <c r="AG30" s="73"/>
    </row>
    <row r="31" spans="1:36" ht="12" customHeight="1" thickBot="1">
      <c r="A31" s="72"/>
      <c r="B31" s="67"/>
      <c r="C31" s="60"/>
      <c r="D31" s="60"/>
      <c r="E31" s="60" t="s">
        <v>1</v>
      </c>
      <c r="F31" s="60"/>
      <c r="G31" s="134"/>
      <c r="H31" s="135"/>
      <c r="I31" s="135"/>
      <c r="J31" s="135"/>
      <c r="K31" s="135"/>
      <c r="L31" s="135"/>
      <c r="M31" s="135"/>
      <c r="N31" s="135"/>
      <c r="O31" s="136"/>
      <c r="P31" s="60"/>
      <c r="Q31" s="180" t="str">
        <f>IF(AJ19=0,0,CONCATENATE("IBAN numbers in ",AJ23,"have ",AJ19," characters"))</f>
        <v>IBAN numbers in Germany have 22 characters</v>
      </c>
      <c r="R31" s="181"/>
      <c r="S31" s="181"/>
      <c r="T31" s="181"/>
      <c r="U31" s="181"/>
      <c r="V31" s="181"/>
      <c r="W31" s="181"/>
      <c r="X31" s="181"/>
      <c r="Y31" s="181"/>
      <c r="Z31" s="181"/>
      <c r="AA31" s="181"/>
      <c r="AB31" s="182"/>
      <c r="AC31" s="60"/>
      <c r="AD31" s="60"/>
      <c r="AE31" s="60"/>
      <c r="AF31" s="62"/>
      <c r="AG31" s="73"/>
    </row>
    <row r="32" spans="1:36" ht="3" hidden="1" customHeight="1" thickBot="1">
      <c r="A32" s="72"/>
      <c r="B32" s="67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2"/>
      <c r="AG32" s="73"/>
    </row>
    <row r="33" spans="1:36" ht="12" hidden="1" customHeight="1" thickBot="1">
      <c r="A33" s="72"/>
      <c r="B33" s="67" t="s">
        <v>250</v>
      </c>
      <c r="C33" s="60"/>
      <c r="D33" s="60"/>
      <c r="E33" s="60" t="s">
        <v>3</v>
      </c>
      <c r="F33" s="60"/>
      <c r="G33" s="170"/>
      <c r="H33" s="171"/>
      <c r="I33" s="171"/>
      <c r="J33" s="171"/>
      <c r="K33" s="171"/>
      <c r="L33" s="171"/>
      <c r="M33" s="171"/>
      <c r="N33" s="171"/>
      <c r="O33" s="172"/>
      <c r="P33" s="60"/>
      <c r="Q33" s="60" t="s">
        <v>4</v>
      </c>
      <c r="R33" s="60"/>
      <c r="S33" s="60"/>
      <c r="T33" s="134"/>
      <c r="U33" s="135"/>
      <c r="V33" s="135"/>
      <c r="W33" s="135"/>
      <c r="X33" s="135"/>
      <c r="Y33" s="135"/>
      <c r="Z33" s="135"/>
      <c r="AA33" s="135"/>
      <c r="AB33" s="136"/>
      <c r="AC33" s="60"/>
      <c r="AD33" s="60"/>
      <c r="AE33" s="60"/>
      <c r="AF33" s="62"/>
      <c r="AG33" s="73"/>
    </row>
    <row r="34" spans="1:36" ht="3" hidden="1" customHeight="1" thickBot="1">
      <c r="A34" s="72"/>
      <c r="B34" s="67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2"/>
      <c r="AG34" s="73"/>
    </row>
    <row r="35" spans="1:36" ht="12" hidden="1" thickBot="1">
      <c r="A35" s="72"/>
      <c r="B35" s="67"/>
      <c r="C35" s="60"/>
      <c r="D35" s="60"/>
      <c r="E35" s="60" t="s">
        <v>0</v>
      </c>
      <c r="F35" s="60"/>
      <c r="G35" s="170"/>
      <c r="H35" s="171"/>
      <c r="I35" s="172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2"/>
      <c r="AG35" s="73"/>
    </row>
    <row r="36" spans="1:36" ht="3" hidden="1" customHeight="1" thickBot="1">
      <c r="A36" s="72"/>
      <c r="B36" s="67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2"/>
      <c r="AG36" s="73"/>
    </row>
    <row r="37" spans="1:36" ht="12" hidden="1" thickBot="1">
      <c r="A37" s="72"/>
      <c r="B37" s="67" t="s">
        <v>250</v>
      </c>
      <c r="C37" s="60"/>
      <c r="D37" s="60"/>
      <c r="E37" s="60" t="s">
        <v>3</v>
      </c>
      <c r="F37" s="60"/>
      <c r="G37" s="170"/>
      <c r="H37" s="171"/>
      <c r="I37" s="171"/>
      <c r="J37" s="171"/>
      <c r="K37" s="171"/>
      <c r="L37" s="171"/>
      <c r="M37" s="171"/>
      <c r="N37" s="171"/>
      <c r="O37" s="172"/>
      <c r="P37" s="60"/>
      <c r="Q37" s="60" t="s">
        <v>4</v>
      </c>
      <c r="R37" s="60"/>
      <c r="S37" s="60"/>
      <c r="T37" s="134"/>
      <c r="U37" s="135"/>
      <c r="V37" s="135"/>
      <c r="W37" s="135"/>
      <c r="X37" s="135"/>
      <c r="Y37" s="135"/>
      <c r="Z37" s="135"/>
      <c r="AA37" s="135"/>
      <c r="AB37" s="136"/>
      <c r="AC37" s="60"/>
      <c r="AD37" s="60"/>
      <c r="AE37" s="60"/>
      <c r="AF37" s="62"/>
      <c r="AG37" s="73"/>
    </row>
    <row r="38" spans="1:36" ht="3" hidden="1" customHeight="1" thickBot="1">
      <c r="A38" s="72"/>
      <c r="B38" s="67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2"/>
      <c r="AG38" s="73"/>
    </row>
    <row r="39" spans="1:36" ht="12" hidden="1" customHeight="1" thickBot="1">
      <c r="A39" s="72"/>
      <c r="B39" s="67"/>
      <c r="C39" s="60"/>
      <c r="D39" s="60"/>
      <c r="E39" s="60" t="s">
        <v>0</v>
      </c>
      <c r="F39" s="60"/>
      <c r="G39" s="170"/>
      <c r="H39" s="171"/>
      <c r="I39" s="172"/>
      <c r="J39" s="60"/>
      <c r="K39" s="60"/>
      <c r="L39" s="60"/>
      <c r="M39" s="60"/>
      <c r="N39" s="60"/>
      <c r="O39" s="60"/>
      <c r="P39" s="60"/>
      <c r="Q39" s="60" t="s">
        <v>5</v>
      </c>
      <c r="R39" s="60"/>
      <c r="S39" s="60"/>
      <c r="T39" s="134"/>
      <c r="U39" s="135"/>
      <c r="V39" s="136"/>
      <c r="W39" s="60"/>
      <c r="X39" s="60"/>
      <c r="Y39" s="60"/>
      <c r="Z39" s="60"/>
      <c r="AA39" s="60"/>
      <c r="AB39" s="60"/>
      <c r="AC39" s="60"/>
      <c r="AD39" s="60"/>
      <c r="AE39" s="60"/>
      <c r="AF39" s="62"/>
      <c r="AG39" s="73"/>
    </row>
    <row r="40" spans="1:36" ht="3" hidden="1" customHeight="1" thickBot="1">
      <c r="A40" s="72"/>
      <c r="B40" s="67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60"/>
      <c r="AE40" s="60"/>
      <c r="AF40" s="62"/>
      <c r="AG40" s="73"/>
    </row>
    <row r="41" spans="1:36" ht="12" hidden="1" customHeight="1" thickBot="1">
      <c r="A41" s="72"/>
      <c r="B41" s="67" t="s">
        <v>250</v>
      </c>
      <c r="C41" s="60"/>
      <c r="D41" s="60"/>
      <c r="E41" s="60" t="s">
        <v>3</v>
      </c>
      <c r="F41" s="60"/>
      <c r="G41" s="170"/>
      <c r="H41" s="171"/>
      <c r="I41" s="171"/>
      <c r="J41" s="171"/>
      <c r="K41" s="171"/>
      <c r="L41" s="171"/>
      <c r="M41" s="171"/>
      <c r="N41" s="171"/>
      <c r="O41" s="172"/>
      <c r="P41" s="60"/>
      <c r="Q41" s="60" t="s">
        <v>4</v>
      </c>
      <c r="R41" s="60"/>
      <c r="S41" s="60"/>
      <c r="T41" s="134"/>
      <c r="U41" s="135"/>
      <c r="V41" s="135"/>
      <c r="W41" s="135"/>
      <c r="X41" s="135"/>
      <c r="Y41" s="135"/>
      <c r="Z41" s="135"/>
      <c r="AA41" s="135"/>
      <c r="AB41" s="136"/>
      <c r="AC41" s="60"/>
      <c r="AD41" s="60"/>
      <c r="AE41" s="60"/>
      <c r="AF41" s="62"/>
      <c r="AG41" s="73"/>
    </row>
    <row r="42" spans="1:36" ht="3" hidden="1" customHeight="1" thickBot="1">
      <c r="A42" s="72"/>
      <c r="B42" s="67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0"/>
      <c r="AC42" s="60"/>
      <c r="AD42" s="60"/>
      <c r="AE42" s="60"/>
      <c r="AF42" s="62"/>
      <c r="AG42" s="73"/>
    </row>
    <row r="43" spans="1:36" ht="12" hidden="1" customHeight="1" thickBot="1">
      <c r="A43" s="72"/>
      <c r="B43" s="67"/>
      <c r="C43" s="60"/>
      <c r="D43" s="60"/>
      <c r="E43" s="60" t="s">
        <v>0</v>
      </c>
      <c r="F43" s="60"/>
      <c r="G43" s="170"/>
      <c r="H43" s="171"/>
      <c r="I43" s="172"/>
      <c r="J43" s="60"/>
      <c r="K43" s="60"/>
      <c r="L43" s="60"/>
      <c r="M43" s="60"/>
      <c r="N43" s="60"/>
      <c r="O43" s="60"/>
      <c r="P43" s="60"/>
      <c r="Q43" s="60" t="s">
        <v>252</v>
      </c>
      <c r="R43" s="60"/>
      <c r="S43" s="60"/>
      <c r="T43" s="134"/>
      <c r="U43" s="135"/>
      <c r="V43" s="136"/>
      <c r="W43" s="60"/>
      <c r="X43" s="60"/>
      <c r="Y43" s="60"/>
      <c r="Z43" s="60"/>
      <c r="AA43" s="60"/>
      <c r="AB43" s="60"/>
      <c r="AC43" s="60"/>
      <c r="AD43" s="60"/>
      <c r="AE43" s="60"/>
      <c r="AF43" s="62"/>
      <c r="AG43" s="73"/>
    </row>
    <row r="44" spans="1:36" ht="3" hidden="1" customHeight="1" thickBot="1">
      <c r="A44" s="72"/>
      <c r="B44" s="66"/>
      <c r="C44" s="61"/>
      <c r="D44" s="61"/>
      <c r="E44" s="61"/>
      <c r="F44" s="61"/>
      <c r="G44" s="75"/>
      <c r="H44" s="75"/>
      <c r="I44" s="75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75"/>
      <c r="U44" s="75"/>
      <c r="V44" s="75"/>
      <c r="W44" s="61"/>
      <c r="X44" s="61"/>
      <c r="Y44" s="61"/>
      <c r="Z44" s="61"/>
      <c r="AA44" s="61"/>
      <c r="AB44" s="61"/>
      <c r="AC44" s="61"/>
      <c r="AD44" s="61"/>
      <c r="AE44" s="61"/>
      <c r="AF44" s="65"/>
      <c r="AG44" s="73"/>
    </row>
    <row r="45" spans="1:36" ht="3" customHeight="1" thickBot="1">
      <c r="A45" s="72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3"/>
    </row>
    <row r="46" spans="1:36" ht="12" customHeight="1">
      <c r="A46" s="72"/>
      <c r="B46" s="56" t="s">
        <v>276</v>
      </c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8"/>
      <c r="AG46" s="73"/>
    </row>
    <row r="47" spans="1:36" ht="3" customHeight="1" thickBot="1">
      <c r="A47" s="72"/>
      <c r="B47" s="67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2"/>
      <c r="AG47" s="73"/>
    </row>
    <row r="48" spans="1:36" ht="12" customHeight="1" thickBot="1">
      <c r="A48" s="72"/>
      <c r="B48" s="67" t="s">
        <v>277</v>
      </c>
      <c r="C48" s="60"/>
      <c r="D48" s="60"/>
      <c r="E48" s="170"/>
      <c r="F48" s="171"/>
      <c r="G48" s="171"/>
      <c r="H48" s="171"/>
      <c r="I48" s="172"/>
      <c r="J48" s="60"/>
      <c r="K48" s="60" t="s">
        <v>2</v>
      </c>
      <c r="L48" s="60"/>
      <c r="M48" s="31" t="s">
        <v>343</v>
      </c>
      <c r="N48" s="60"/>
      <c r="O48" s="180" t="str">
        <f>IF(ISBLANK(M48),0,VLOOKUP(M48,Data!A:E,2,FALSE))</f>
        <v>Country Name</v>
      </c>
      <c r="P48" s="181"/>
      <c r="Q48" s="181"/>
      <c r="R48" s="181"/>
      <c r="S48" s="181"/>
      <c r="T48" s="181"/>
      <c r="U48" s="181"/>
      <c r="V48" s="182"/>
      <c r="W48" s="60"/>
      <c r="X48" s="60" t="s">
        <v>278</v>
      </c>
      <c r="Y48" s="60"/>
      <c r="Z48" s="239"/>
      <c r="AA48" s="240"/>
      <c r="AB48" s="240"/>
      <c r="AC48" s="240"/>
      <c r="AD48" s="240"/>
      <c r="AE48" s="241"/>
      <c r="AF48" s="62"/>
      <c r="AG48" s="73"/>
      <c r="AI48" s="68"/>
      <c r="AJ48" s="68" t="str">
        <f>M48</f>
        <v>*</v>
      </c>
    </row>
    <row r="49" spans="1:38" ht="3" customHeight="1">
      <c r="A49" s="72"/>
      <c r="B49" s="67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242"/>
      <c r="AA49" s="243"/>
      <c r="AB49" s="243"/>
      <c r="AC49" s="243"/>
      <c r="AD49" s="243"/>
      <c r="AE49" s="244"/>
      <c r="AF49" s="62"/>
      <c r="AG49" s="73"/>
    </row>
    <row r="50" spans="1:38" ht="12" customHeight="1" thickBot="1">
      <c r="A50" s="72"/>
      <c r="B50" s="67"/>
      <c r="C50" s="60"/>
      <c r="D50" s="60"/>
      <c r="E50" s="107" t="s">
        <v>279</v>
      </c>
      <c r="F50" s="107" t="s">
        <v>280</v>
      </c>
      <c r="G50" s="177" t="s">
        <v>281</v>
      </c>
      <c r="H50" s="177"/>
      <c r="I50" s="60"/>
      <c r="J50" s="107" t="s">
        <v>287</v>
      </c>
      <c r="K50" s="107" t="s">
        <v>284</v>
      </c>
      <c r="L50" s="60"/>
      <c r="M50" s="60"/>
      <c r="N50" s="60"/>
      <c r="O50" s="60"/>
      <c r="P50" s="107" t="s">
        <v>279</v>
      </c>
      <c r="Q50" s="107" t="s">
        <v>280</v>
      </c>
      <c r="R50" s="177" t="s">
        <v>281</v>
      </c>
      <c r="S50" s="177"/>
      <c r="T50" s="60"/>
      <c r="U50" s="107" t="s">
        <v>283</v>
      </c>
      <c r="V50" s="107" t="s">
        <v>284</v>
      </c>
      <c r="W50" s="60"/>
      <c r="X50" s="60"/>
      <c r="Y50" s="60"/>
      <c r="Z50" s="245"/>
      <c r="AA50" s="246"/>
      <c r="AB50" s="246"/>
      <c r="AC50" s="246"/>
      <c r="AD50" s="246"/>
      <c r="AE50" s="247"/>
      <c r="AF50" s="62"/>
      <c r="AG50" s="73"/>
      <c r="AL50" s="1" t="s">
        <v>290</v>
      </c>
    </row>
    <row r="51" spans="1:38" ht="12" customHeight="1" thickBot="1">
      <c r="A51" s="72"/>
      <c r="B51" s="67" t="s">
        <v>282</v>
      </c>
      <c r="C51" s="60"/>
      <c r="D51" s="60"/>
      <c r="E51" s="108" t="s">
        <v>343</v>
      </c>
      <c r="F51" s="31" t="s">
        <v>343</v>
      </c>
      <c r="G51" s="178" t="s">
        <v>343</v>
      </c>
      <c r="H51" s="179"/>
      <c r="I51" s="60" t="s">
        <v>289</v>
      </c>
      <c r="J51" s="108" t="s">
        <v>343</v>
      </c>
      <c r="K51" s="31" t="s">
        <v>343</v>
      </c>
      <c r="L51" s="60"/>
      <c r="M51" s="60" t="s">
        <v>285</v>
      </c>
      <c r="N51" s="60"/>
      <c r="O51" s="60"/>
      <c r="P51" s="108" t="s">
        <v>343</v>
      </c>
      <c r="Q51" s="31" t="s">
        <v>343</v>
      </c>
      <c r="R51" s="178" t="s">
        <v>343</v>
      </c>
      <c r="S51" s="179"/>
      <c r="T51" s="60"/>
      <c r="U51" s="108" t="s">
        <v>343</v>
      </c>
      <c r="V51" s="31" t="s">
        <v>343</v>
      </c>
      <c r="W51" s="60"/>
      <c r="X51" s="60" t="s">
        <v>290</v>
      </c>
      <c r="Y51" s="60"/>
      <c r="Z51" s="60"/>
      <c r="AA51" s="238">
        <f>IF(V51="*",0,AL51)</f>
        <v>0</v>
      </c>
      <c r="AB51" s="238"/>
      <c r="AC51" s="60" t="s">
        <v>288</v>
      </c>
      <c r="AD51" s="60"/>
      <c r="AE51" s="60"/>
      <c r="AF51" s="62"/>
      <c r="AG51" s="73"/>
      <c r="AI51" s="1" t="str">
        <f>CONCATENATE(E51,"-",F51,"-",G51,I51,J51,":",K51)</f>
        <v>*-*-* *:*</v>
      </c>
      <c r="AK51" s="1" t="str">
        <f>CONCATENATE(P51,"-",Q51,"-",R51,T51," ",U51,":",V51)</f>
        <v>*-*-* *:*</v>
      </c>
      <c r="AL51" s="1" t="e">
        <f>IF(AK51-AI51&gt;=0,AK51-AI51,0)</f>
        <v>#VALUE!</v>
      </c>
    </row>
    <row r="52" spans="1:38" ht="3" customHeight="1" thickBot="1">
      <c r="A52" s="72"/>
      <c r="B52" s="66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5"/>
      <c r="AG52" s="73"/>
    </row>
    <row r="53" spans="1:38" ht="3" customHeight="1" thickBot="1">
      <c r="A53" s="72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3"/>
    </row>
    <row r="54" spans="1:38" ht="12" customHeight="1">
      <c r="A54" s="72"/>
      <c r="B54" s="56" t="s">
        <v>300</v>
      </c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8"/>
      <c r="AG54" s="73"/>
    </row>
    <row r="55" spans="1:38" ht="12" customHeight="1" thickBot="1">
      <c r="A55" s="72"/>
      <c r="B55" s="67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107" t="s">
        <v>296</v>
      </c>
      <c r="O55" s="76"/>
      <c r="P55" s="76"/>
      <c r="Q55" s="60" t="s">
        <v>297</v>
      </c>
      <c r="R55" s="60"/>
      <c r="S55" s="60"/>
      <c r="T55" s="60"/>
      <c r="U55" s="76"/>
      <c r="V55" s="76"/>
      <c r="W55" s="76"/>
      <c r="X55" s="60"/>
      <c r="Y55" s="60"/>
      <c r="Z55" s="107" t="s">
        <v>299</v>
      </c>
      <c r="AA55" s="60"/>
      <c r="AB55" s="60"/>
      <c r="AC55" s="60"/>
      <c r="AD55" s="60"/>
      <c r="AE55" s="60"/>
      <c r="AF55" s="62"/>
      <c r="AG55" s="73"/>
      <c r="AI55" s="68"/>
    </row>
    <row r="56" spans="1:38" ht="12" customHeight="1" thickBot="1">
      <c r="A56" s="72"/>
      <c r="B56" s="67"/>
      <c r="C56" s="60"/>
      <c r="D56" s="60"/>
      <c r="E56" s="60"/>
      <c r="F56" s="60"/>
      <c r="G56" s="158" t="s">
        <v>292</v>
      </c>
      <c r="H56" s="158"/>
      <c r="I56" s="158"/>
      <c r="J56" s="158"/>
      <c r="K56" s="158"/>
      <c r="L56" s="158"/>
      <c r="M56" s="159"/>
      <c r="N56" s="29"/>
      <c r="O56" s="76"/>
      <c r="P56" s="76"/>
      <c r="Q56" s="77" t="s">
        <v>298</v>
      </c>
      <c r="R56" s="78"/>
      <c r="S56" s="148"/>
      <c r="T56" s="149"/>
      <c r="U56" s="149"/>
      <c r="V56" s="149"/>
      <c r="W56" s="149"/>
      <c r="X56" s="149"/>
      <c r="Y56" s="150"/>
      <c r="Z56" s="30"/>
      <c r="AA56" s="60"/>
      <c r="AB56" s="60"/>
      <c r="AC56" s="60"/>
      <c r="AD56" s="60"/>
      <c r="AE56" s="60"/>
      <c r="AF56" s="62"/>
      <c r="AG56" s="73"/>
    </row>
    <row r="57" spans="1:38" ht="12" customHeight="1" thickBot="1">
      <c r="A57" s="72"/>
      <c r="B57" s="67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76"/>
      <c r="P57" s="76"/>
      <c r="Q57" s="144" t="s">
        <v>298</v>
      </c>
      <c r="R57" s="145"/>
      <c r="S57" s="146"/>
      <c r="T57" s="146"/>
      <c r="U57" s="146"/>
      <c r="V57" s="146"/>
      <c r="W57" s="146"/>
      <c r="X57" s="146"/>
      <c r="Y57" s="147"/>
      <c r="Z57" s="30"/>
      <c r="AA57" s="60"/>
      <c r="AB57" s="60"/>
      <c r="AC57" s="60"/>
      <c r="AD57" s="60"/>
      <c r="AE57" s="60"/>
      <c r="AF57" s="62"/>
      <c r="AG57" s="73"/>
    </row>
    <row r="58" spans="1:38" ht="12" customHeight="1" thickBot="1">
      <c r="A58" s="72"/>
      <c r="B58" s="67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76"/>
      <c r="P58" s="76"/>
      <c r="Q58" s="60"/>
      <c r="R58" s="60"/>
      <c r="S58" s="60"/>
      <c r="T58" s="60"/>
      <c r="U58" s="60"/>
      <c r="V58" s="60"/>
      <c r="W58" s="60"/>
      <c r="X58" s="60"/>
      <c r="Y58" s="60"/>
      <c r="Z58" s="79">
        <f>SUM(Z56:Z57)</f>
        <v>0</v>
      </c>
      <c r="AA58" s="60"/>
      <c r="AB58" s="60"/>
      <c r="AC58" s="60"/>
      <c r="AD58" s="60"/>
      <c r="AE58" s="60"/>
      <c r="AF58" s="62"/>
      <c r="AG58" s="73"/>
    </row>
    <row r="59" spans="1:38" ht="12" hidden="1" customHeight="1" thickBot="1">
      <c r="A59" s="72"/>
      <c r="B59" s="80"/>
      <c r="C59" s="110"/>
      <c r="D59" s="110"/>
      <c r="E59" s="81"/>
      <c r="F59" s="60"/>
      <c r="G59" s="60"/>
      <c r="H59" s="60"/>
      <c r="I59" s="60"/>
      <c r="J59" s="60"/>
      <c r="K59" s="60"/>
      <c r="L59" s="60"/>
      <c r="M59" s="60"/>
      <c r="N59" s="107" t="s">
        <v>296</v>
      </c>
      <c r="O59" s="76"/>
      <c r="P59" s="76"/>
      <c r="Q59" s="82" t="s">
        <v>665</v>
      </c>
      <c r="R59" s="60"/>
      <c r="S59" s="60"/>
      <c r="T59" s="107"/>
      <c r="U59" s="60"/>
      <c r="V59" s="60"/>
      <c r="W59" s="60"/>
      <c r="X59" s="60"/>
      <c r="Y59" s="60"/>
      <c r="Z59" s="81"/>
      <c r="AA59" s="60"/>
      <c r="AB59" s="60"/>
      <c r="AC59" s="60"/>
      <c r="AD59" s="60"/>
      <c r="AE59" s="60"/>
      <c r="AF59" s="62"/>
      <c r="AG59" s="73"/>
    </row>
    <row r="60" spans="1:38" ht="12" hidden="1" customHeight="1" thickBot="1">
      <c r="A60" s="72"/>
      <c r="B60" s="80"/>
      <c r="C60" s="110"/>
      <c r="D60" s="110"/>
      <c r="E60" s="81"/>
      <c r="F60" s="60"/>
      <c r="G60" s="159" t="s">
        <v>291</v>
      </c>
      <c r="H60" s="156"/>
      <c r="I60" s="156"/>
      <c r="J60" s="156"/>
      <c r="K60" s="156"/>
      <c r="L60" s="156"/>
      <c r="M60" s="183"/>
      <c r="N60" s="29"/>
      <c r="O60" s="76"/>
      <c r="P60" s="76"/>
      <c r="Q60" s="83" t="s">
        <v>293</v>
      </c>
      <c r="R60" s="106"/>
      <c r="S60" s="106"/>
      <c r="T60" s="29"/>
      <c r="U60" s="60"/>
      <c r="V60" s="60"/>
      <c r="W60" s="60"/>
      <c r="X60" s="60"/>
      <c r="Y60" s="60"/>
      <c r="Z60" s="81"/>
      <c r="AA60" s="60"/>
      <c r="AB60" s="60"/>
      <c r="AC60" s="60"/>
      <c r="AD60" s="60"/>
      <c r="AE60" s="60"/>
      <c r="AF60" s="62"/>
      <c r="AG60" s="73"/>
    </row>
    <row r="61" spans="1:38" ht="12" hidden="1" customHeight="1" thickBot="1">
      <c r="A61" s="72"/>
      <c r="B61" s="80"/>
      <c r="C61" s="110"/>
      <c r="D61" s="110"/>
      <c r="E61" s="81"/>
      <c r="F61" s="60"/>
      <c r="G61" s="60"/>
      <c r="H61" s="60"/>
      <c r="I61" s="60"/>
      <c r="J61" s="60"/>
      <c r="K61" s="60"/>
      <c r="L61" s="60"/>
      <c r="M61" s="60"/>
      <c r="N61" s="84"/>
      <c r="O61" s="76"/>
      <c r="P61" s="76"/>
      <c r="Q61" s="105" t="s">
        <v>294</v>
      </c>
      <c r="R61" s="106"/>
      <c r="S61" s="106"/>
      <c r="T61" s="29"/>
      <c r="U61" s="60"/>
      <c r="V61" s="60"/>
      <c r="W61" s="60"/>
      <c r="X61" s="60"/>
      <c r="Y61" s="60"/>
      <c r="Z61" s="81"/>
      <c r="AA61" s="60"/>
      <c r="AB61" s="60"/>
      <c r="AC61" s="60"/>
      <c r="AD61" s="60"/>
      <c r="AE61" s="60"/>
      <c r="AF61" s="62"/>
      <c r="AG61" s="73"/>
    </row>
    <row r="62" spans="1:38" ht="12" hidden="1" customHeight="1" thickBot="1">
      <c r="A62" s="72"/>
      <c r="B62" s="80"/>
      <c r="C62" s="110"/>
      <c r="D62" s="110"/>
      <c r="E62" s="81"/>
      <c r="F62" s="60"/>
      <c r="G62" s="60"/>
      <c r="H62" s="60"/>
      <c r="I62" s="60"/>
      <c r="J62" s="60"/>
      <c r="K62" s="60"/>
      <c r="L62" s="60"/>
      <c r="M62" s="60"/>
      <c r="N62" s="84"/>
      <c r="O62" s="76"/>
      <c r="P62" s="76"/>
      <c r="Q62" s="155" t="s">
        <v>295</v>
      </c>
      <c r="R62" s="156"/>
      <c r="S62" s="156"/>
      <c r="T62" s="104"/>
      <c r="U62" s="60"/>
      <c r="V62" s="60"/>
      <c r="W62" s="60"/>
      <c r="X62" s="60"/>
      <c r="Y62" s="60"/>
      <c r="Z62" s="81"/>
      <c r="AA62" s="60"/>
      <c r="AB62" s="60"/>
      <c r="AC62" s="60"/>
      <c r="AD62" s="60"/>
      <c r="AE62" s="60"/>
      <c r="AF62" s="62"/>
      <c r="AG62" s="73"/>
    </row>
    <row r="63" spans="1:38" ht="3" customHeight="1" thickBot="1">
      <c r="A63" s="72"/>
      <c r="B63" s="66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5"/>
      <c r="AG63" s="73"/>
    </row>
    <row r="64" spans="1:38" ht="3" customHeight="1" thickBot="1">
      <c r="A64" s="72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3"/>
    </row>
    <row r="65" spans="1:36" ht="12" customHeight="1">
      <c r="A65" s="72"/>
      <c r="B65" s="56" t="s">
        <v>320</v>
      </c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8"/>
      <c r="AG65" s="73"/>
    </row>
    <row r="66" spans="1:36" ht="12" customHeight="1">
      <c r="A66" s="72"/>
      <c r="B66" s="155" t="s">
        <v>669</v>
      </c>
      <c r="C66" s="156"/>
      <c r="D66" s="156"/>
      <c r="E66" s="157"/>
      <c r="F66" s="137"/>
      <c r="G66" s="201"/>
      <c r="H66" s="201"/>
      <c r="I66" s="201"/>
      <c r="J66" s="201"/>
      <c r="K66" s="201"/>
      <c r="L66" s="201"/>
      <c r="M66" s="201"/>
      <c r="N66" s="201"/>
      <c r="O66" s="201"/>
      <c r="P66" s="201"/>
      <c r="Q66" s="201"/>
      <c r="R66" s="201"/>
      <c r="S66" s="201"/>
      <c r="T66" s="201"/>
      <c r="U66" s="201"/>
      <c r="V66" s="201"/>
      <c r="W66" s="201"/>
      <c r="X66" s="201"/>
      <c r="Y66" s="201"/>
      <c r="Z66" s="201"/>
      <c r="AA66" s="201"/>
      <c r="AB66" s="201"/>
      <c r="AC66" s="201"/>
      <c r="AD66" s="201"/>
      <c r="AE66" s="201"/>
      <c r="AF66" s="202"/>
      <c r="AG66" s="73"/>
    </row>
    <row r="67" spans="1:36" ht="12" customHeight="1">
      <c r="A67" s="72"/>
      <c r="B67" s="189" t="s">
        <v>321</v>
      </c>
      <c r="C67" s="190"/>
      <c r="D67" s="190"/>
      <c r="E67" s="191"/>
      <c r="F67" s="195"/>
      <c r="G67" s="196"/>
      <c r="H67" s="196"/>
      <c r="I67" s="196"/>
      <c r="J67" s="196"/>
      <c r="K67" s="196"/>
      <c r="L67" s="196"/>
      <c r="M67" s="196"/>
      <c r="N67" s="196"/>
      <c r="O67" s="196"/>
      <c r="P67" s="196"/>
      <c r="Q67" s="196"/>
      <c r="R67" s="196"/>
      <c r="S67" s="196"/>
      <c r="T67" s="196"/>
      <c r="U67" s="196"/>
      <c r="V67" s="196"/>
      <c r="W67" s="196"/>
      <c r="X67" s="196"/>
      <c r="Y67" s="196"/>
      <c r="Z67" s="196"/>
      <c r="AA67" s="196"/>
      <c r="AB67" s="196"/>
      <c r="AC67" s="196"/>
      <c r="AD67" s="196"/>
      <c r="AE67" s="196"/>
      <c r="AF67" s="197"/>
      <c r="AG67" s="73"/>
    </row>
    <row r="68" spans="1:36" ht="12" customHeight="1">
      <c r="A68" s="72"/>
      <c r="B68" s="192"/>
      <c r="C68" s="193"/>
      <c r="D68" s="193"/>
      <c r="E68" s="194"/>
      <c r="F68" s="198"/>
      <c r="G68" s="199"/>
      <c r="H68" s="199"/>
      <c r="I68" s="199"/>
      <c r="J68" s="199"/>
      <c r="K68" s="199"/>
      <c r="L68" s="199"/>
      <c r="M68" s="199"/>
      <c r="N68" s="199"/>
      <c r="O68" s="199"/>
      <c r="P68" s="199"/>
      <c r="Q68" s="199"/>
      <c r="R68" s="199"/>
      <c r="S68" s="199"/>
      <c r="T68" s="199"/>
      <c r="U68" s="199"/>
      <c r="V68" s="199"/>
      <c r="W68" s="199"/>
      <c r="X68" s="199"/>
      <c r="Y68" s="199"/>
      <c r="Z68" s="199"/>
      <c r="AA68" s="199"/>
      <c r="AB68" s="199"/>
      <c r="AC68" s="199"/>
      <c r="AD68" s="199"/>
      <c r="AE68" s="199"/>
      <c r="AF68" s="200"/>
      <c r="AG68" s="73"/>
    </row>
    <row r="69" spans="1:36" ht="12" customHeight="1">
      <c r="A69" s="72"/>
      <c r="B69" s="155" t="s">
        <v>322</v>
      </c>
      <c r="C69" s="156"/>
      <c r="D69" s="156"/>
      <c r="E69" s="157"/>
      <c r="F69" s="137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138"/>
      <c r="AC69" s="138"/>
      <c r="AD69" s="138"/>
      <c r="AE69" s="138"/>
      <c r="AF69" s="203"/>
      <c r="AG69" s="73"/>
    </row>
    <row r="70" spans="1:36" ht="3" customHeight="1" thickBot="1">
      <c r="A70" s="114"/>
      <c r="B70" s="66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5"/>
      <c r="AG70" s="115"/>
    </row>
    <row r="71" spans="1:36" ht="3" customHeight="1" thickBot="1">
      <c r="A71" s="72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3"/>
    </row>
    <row r="72" spans="1:36" ht="12" customHeight="1">
      <c r="A72" s="72"/>
      <c r="B72" s="56" t="s">
        <v>275</v>
      </c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8"/>
      <c r="AG72" s="71"/>
    </row>
    <row r="73" spans="1:36" ht="12" customHeight="1">
      <c r="A73" s="72"/>
      <c r="B73" s="173" t="s">
        <v>255</v>
      </c>
      <c r="C73" s="174"/>
      <c r="D73" s="175" t="s">
        <v>258</v>
      </c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  <c r="S73" s="176"/>
      <c r="T73" s="176"/>
      <c r="U73" s="176"/>
      <c r="V73" s="176"/>
      <c r="W73" s="174"/>
      <c r="X73" s="175" t="s">
        <v>257</v>
      </c>
      <c r="Y73" s="174"/>
      <c r="Z73" s="175" t="s">
        <v>256</v>
      </c>
      <c r="AA73" s="174"/>
      <c r="AB73" s="250" t="s">
        <v>198</v>
      </c>
      <c r="AC73" s="251"/>
      <c r="AD73" s="207" t="str">
        <f>IF(E21="*",0,VLOOKUP(AI23,Data!A:E,3,FALSE))</f>
        <v>EUR</v>
      </c>
      <c r="AE73" s="207"/>
      <c r="AF73" s="62"/>
      <c r="AG73" s="73"/>
      <c r="AI73" s="5" t="s">
        <v>198</v>
      </c>
      <c r="AJ73" s="6"/>
    </row>
    <row r="74" spans="1:36" ht="12" customHeight="1">
      <c r="A74" s="72"/>
      <c r="B74" s="163"/>
      <c r="C74" s="152"/>
      <c r="D74" s="137"/>
      <c r="E74" s="138"/>
      <c r="F74" s="138"/>
      <c r="G74" s="138"/>
      <c r="H74" s="138"/>
      <c r="I74" s="138"/>
      <c r="J74" s="138"/>
      <c r="K74" s="138"/>
      <c r="L74" s="138"/>
      <c r="M74" s="138"/>
      <c r="N74" s="138"/>
      <c r="O74" s="138"/>
      <c r="P74" s="138"/>
      <c r="Q74" s="138"/>
      <c r="R74" s="138"/>
      <c r="S74" s="138"/>
      <c r="T74" s="138"/>
      <c r="U74" s="138"/>
      <c r="V74" s="138"/>
      <c r="W74" s="139"/>
      <c r="X74" s="151" t="s">
        <v>343</v>
      </c>
      <c r="Y74" s="152"/>
      <c r="Z74" s="153"/>
      <c r="AA74" s="154"/>
      <c r="AB74" s="142">
        <f>IF(X74="*",0,((Z74*AI74)/100))</f>
        <v>0</v>
      </c>
      <c r="AC74" s="143"/>
      <c r="AD74" s="209">
        <f t="shared" ref="AD74:AD81" si="0">IF($E$21="*",0,AB74/(VLOOKUP($AD$73,Valutakurser,3,FALSE))*100)</f>
        <v>0</v>
      </c>
      <c r="AE74" s="209"/>
      <c r="AF74" s="62"/>
      <c r="AG74" s="73"/>
      <c r="AI74" s="5" t="str">
        <f>VLOOKUP(X74,Valutakurser,3,FALSE)</f>
        <v>Kurs</v>
      </c>
      <c r="AJ74" s="7"/>
    </row>
    <row r="75" spans="1:36" ht="12" customHeight="1">
      <c r="A75" s="72"/>
      <c r="B75" s="163"/>
      <c r="C75" s="152"/>
      <c r="D75" s="137"/>
      <c r="E75" s="138"/>
      <c r="F75" s="138"/>
      <c r="G75" s="138"/>
      <c r="H75" s="138"/>
      <c r="I75" s="138"/>
      <c r="J75" s="138"/>
      <c r="K75" s="138"/>
      <c r="L75" s="138"/>
      <c r="M75" s="138"/>
      <c r="N75" s="138"/>
      <c r="O75" s="138"/>
      <c r="P75" s="138"/>
      <c r="Q75" s="138"/>
      <c r="R75" s="138"/>
      <c r="S75" s="138"/>
      <c r="T75" s="138"/>
      <c r="U75" s="138"/>
      <c r="V75" s="138"/>
      <c r="W75" s="139"/>
      <c r="X75" s="151" t="s">
        <v>343</v>
      </c>
      <c r="Y75" s="152"/>
      <c r="Z75" s="153"/>
      <c r="AA75" s="154"/>
      <c r="AB75" s="142">
        <f t="shared" ref="AB75:AB81" si="1">IF(X75="*",0,((Z75*AI75)/100))</f>
        <v>0</v>
      </c>
      <c r="AC75" s="143"/>
      <c r="AD75" s="209">
        <f t="shared" si="0"/>
        <v>0</v>
      </c>
      <c r="AE75" s="209"/>
      <c r="AF75" s="62"/>
      <c r="AG75" s="73"/>
      <c r="AI75" s="5" t="str">
        <f t="shared" ref="AI75:AI81" si="2">VLOOKUP(X75,Valutakurser,3,FALSE)</f>
        <v>Kurs</v>
      </c>
      <c r="AJ75" s="7"/>
    </row>
    <row r="76" spans="1:36" ht="12" customHeight="1">
      <c r="A76" s="72"/>
      <c r="B76" s="163"/>
      <c r="C76" s="152"/>
      <c r="D76" s="137"/>
      <c r="E76" s="138"/>
      <c r="F76" s="138"/>
      <c r="G76" s="138"/>
      <c r="H76" s="138"/>
      <c r="I76" s="138"/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9"/>
      <c r="X76" s="151" t="s">
        <v>343</v>
      </c>
      <c r="Y76" s="152"/>
      <c r="Z76" s="153"/>
      <c r="AA76" s="154"/>
      <c r="AB76" s="142">
        <f t="shared" si="1"/>
        <v>0</v>
      </c>
      <c r="AC76" s="143"/>
      <c r="AD76" s="209">
        <f t="shared" si="0"/>
        <v>0</v>
      </c>
      <c r="AE76" s="209"/>
      <c r="AF76" s="62"/>
      <c r="AG76" s="73"/>
      <c r="AI76" s="5" t="str">
        <f t="shared" si="2"/>
        <v>Kurs</v>
      </c>
      <c r="AJ76" s="7"/>
    </row>
    <row r="77" spans="1:36" ht="12" customHeight="1">
      <c r="A77" s="72"/>
      <c r="B77" s="163"/>
      <c r="C77" s="152"/>
      <c r="D77" s="137"/>
      <c r="E77" s="138"/>
      <c r="F77" s="138"/>
      <c r="G77" s="138"/>
      <c r="H77" s="138"/>
      <c r="I77" s="138"/>
      <c r="J77" s="138"/>
      <c r="K77" s="138"/>
      <c r="L77" s="138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9"/>
      <c r="X77" s="151" t="s">
        <v>343</v>
      </c>
      <c r="Y77" s="152"/>
      <c r="Z77" s="153"/>
      <c r="AA77" s="154"/>
      <c r="AB77" s="142">
        <f t="shared" si="1"/>
        <v>0</v>
      </c>
      <c r="AC77" s="143"/>
      <c r="AD77" s="209">
        <f t="shared" si="0"/>
        <v>0</v>
      </c>
      <c r="AE77" s="209"/>
      <c r="AF77" s="62"/>
      <c r="AG77" s="73"/>
      <c r="AI77" s="5" t="str">
        <f t="shared" si="2"/>
        <v>Kurs</v>
      </c>
      <c r="AJ77" s="7"/>
    </row>
    <row r="78" spans="1:36" ht="12" customHeight="1">
      <c r="A78" s="72"/>
      <c r="B78" s="163"/>
      <c r="C78" s="152"/>
      <c r="D78" s="137"/>
      <c r="E78" s="138"/>
      <c r="F78" s="138"/>
      <c r="G78" s="138"/>
      <c r="H78" s="138"/>
      <c r="I78" s="138"/>
      <c r="J78" s="138"/>
      <c r="K78" s="138"/>
      <c r="L78" s="138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9"/>
      <c r="X78" s="151" t="s">
        <v>343</v>
      </c>
      <c r="Y78" s="152"/>
      <c r="Z78" s="153"/>
      <c r="AA78" s="154"/>
      <c r="AB78" s="142">
        <f t="shared" si="1"/>
        <v>0</v>
      </c>
      <c r="AC78" s="143"/>
      <c r="AD78" s="209">
        <f t="shared" si="0"/>
        <v>0</v>
      </c>
      <c r="AE78" s="209"/>
      <c r="AF78" s="62"/>
      <c r="AG78" s="73"/>
      <c r="AI78" s="5" t="str">
        <f t="shared" si="2"/>
        <v>Kurs</v>
      </c>
      <c r="AJ78" s="7"/>
    </row>
    <row r="79" spans="1:36" ht="12" customHeight="1">
      <c r="A79" s="72"/>
      <c r="B79" s="163"/>
      <c r="C79" s="152"/>
      <c r="D79" s="137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9"/>
      <c r="X79" s="151" t="s">
        <v>343</v>
      </c>
      <c r="Y79" s="152"/>
      <c r="Z79" s="153"/>
      <c r="AA79" s="154"/>
      <c r="AB79" s="142">
        <f t="shared" si="1"/>
        <v>0</v>
      </c>
      <c r="AC79" s="143"/>
      <c r="AD79" s="209">
        <f t="shared" si="0"/>
        <v>0</v>
      </c>
      <c r="AE79" s="209"/>
      <c r="AF79" s="62"/>
      <c r="AG79" s="73"/>
      <c r="AI79" s="5" t="str">
        <f t="shared" si="2"/>
        <v>Kurs</v>
      </c>
      <c r="AJ79" s="7"/>
    </row>
    <row r="80" spans="1:36" ht="12" customHeight="1">
      <c r="A80" s="72"/>
      <c r="B80" s="163"/>
      <c r="C80" s="152"/>
      <c r="D80" s="137"/>
      <c r="E80" s="138"/>
      <c r="F80" s="138"/>
      <c r="G80" s="138"/>
      <c r="H80" s="138"/>
      <c r="I80" s="138"/>
      <c r="J80" s="138"/>
      <c r="K80" s="138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9"/>
      <c r="X80" s="151" t="s">
        <v>343</v>
      </c>
      <c r="Y80" s="152"/>
      <c r="Z80" s="153"/>
      <c r="AA80" s="154"/>
      <c r="AB80" s="142">
        <f t="shared" si="1"/>
        <v>0</v>
      </c>
      <c r="AC80" s="143"/>
      <c r="AD80" s="209">
        <f t="shared" si="0"/>
        <v>0</v>
      </c>
      <c r="AE80" s="209"/>
      <c r="AF80" s="62"/>
      <c r="AG80" s="73"/>
      <c r="AI80" s="5" t="str">
        <f t="shared" si="2"/>
        <v>Kurs</v>
      </c>
      <c r="AJ80" s="7"/>
    </row>
    <row r="81" spans="1:36" ht="12" customHeight="1">
      <c r="A81" s="72"/>
      <c r="B81" s="163"/>
      <c r="C81" s="152"/>
      <c r="D81" s="137"/>
      <c r="E81" s="138"/>
      <c r="F81" s="138"/>
      <c r="G81" s="138"/>
      <c r="H81" s="138"/>
      <c r="I81" s="138"/>
      <c r="J81" s="138"/>
      <c r="K81" s="138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9"/>
      <c r="X81" s="151" t="s">
        <v>343</v>
      </c>
      <c r="Y81" s="152"/>
      <c r="Z81" s="153"/>
      <c r="AA81" s="154"/>
      <c r="AB81" s="142">
        <f t="shared" si="1"/>
        <v>0</v>
      </c>
      <c r="AC81" s="143"/>
      <c r="AD81" s="209">
        <f t="shared" si="0"/>
        <v>0</v>
      </c>
      <c r="AE81" s="209"/>
      <c r="AF81" s="62"/>
      <c r="AG81" s="73"/>
      <c r="AI81" s="5" t="str">
        <f t="shared" si="2"/>
        <v>Kurs</v>
      </c>
      <c r="AJ81" s="7"/>
    </row>
    <row r="82" spans="1:36" ht="12" customHeight="1">
      <c r="A82" s="72"/>
      <c r="B82" s="227" t="s">
        <v>312</v>
      </c>
      <c r="C82" s="228"/>
      <c r="D82" s="228"/>
      <c r="E82" s="228"/>
      <c r="F82" s="228"/>
      <c r="G82" s="228"/>
      <c r="H82" s="228"/>
      <c r="I82" s="228"/>
      <c r="J82" s="228"/>
      <c r="K82" s="228"/>
      <c r="L82" s="228"/>
      <c r="M82" s="228"/>
      <c r="N82" s="228"/>
      <c r="O82" s="228"/>
      <c r="P82" s="228"/>
      <c r="Q82" s="228"/>
      <c r="R82" s="228"/>
      <c r="S82" s="228"/>
      <c r="T82" s="228"/>
      <c r="U82" s="228"/>
      <c r="V82" s="228"/>
      <c r="W82" s="228"/>
      <c r="X82" s="228"/>
      <c r="Y82" s="228"/>
      <c r="Z82" s="228"/>
      <c r="AA82" s="228"/>
      <c r="AB82" s="142">
        <f>SUM(AB74:AC81)</f>
        <v>0</v>
      </c>
      <c r="AC82" s="143"/>
      <c r="AD82" s="209">
        <f>SUM(AD74:AE81)</f>
        <v>0</v>
      </c>
      <c r="AE82" s="209"/>
      <c r="AF82" s="62"/>
      <c r="AG82" s="73"/>
    </row>
    <row r="83" spans="1:36" ht="3" customHeight="1" thickBot="1">
      <c r="A83" s="72"/>
      <c r="B83" s="66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5"/>
      <c r="AG83" s="73"/>
    </row>
    <row r="84" spans="1:36" ht="3" customHeight="1" thickBot="1">
      <c r="A84" s="72"/>
      <c r="B84" s="112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3"/>
    </row>
    <row r="85" spans="1:36" ht="12" customHeight="1">
      <c r="A85" s="72"/>
      <c r="B85" s="56" t="s">
        <v>301</v>
      </c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8"/>
      <c r="AG85" s="73"/>
    </row>
    <row r="86" spans="1:36" ht="12" customHeight="1">
      <c r="A86" s="72"/>
      <c r="B86" s="173" t="s">
        <v>304</v>
      </c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  <c r="S86" s="176"/>
      <c r="T86" s="176"/>
      <c r="U86" s="176"/>
      <c r="V86" s="176"/>
      <c r="W86" s="174"/>
      <c r="X86" s="175" t="s">
        <v>303</v>
      </c>
      <c r="Y86" s="174"/>
      <c r="Z86" s="175" t="s">
        <v>311</v>
      </c>
      <c r="AA86" s="174"/>
      <c r="AB86" s="250" t="s">
        <v>198</v>
      </c>
      <c r="AC86" s="251"/>
      <c r="AD86" s="175" t="str">
        <f>IF(E21="*",0,VLOOKUP(AI23,Data!A:E,3,FALSE))</f>
        <v>EUR</v>
      </c>
      <c r="AE86" s="174"/>
      <c r="AF86" s="62"/>
      <c r="AG86" s="73"/>
    </row>
    <row r="87" spans="1:36" ht="12" hidden="1" customHeight="1">
      <c r="A87" s="72"/>
      <c r="B87" s="155" t="s">
        <v>316</v>
      </c>
      <c r="C87" s="156"/>
      <c r="D87" s="156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  <c r="V87" s="156"/>
      <c r="W87" s="157"/>
      <c r="X87" s="140">
        <f>IF(AI6&lt;&gt;1,0,IF(AA51&lt;1,0,AA51))</f>
        <v>0</v>
      </c>
      <c r="Y87" s="141"/>
      <c r="Z87" s="140">
        <f>IF(X87=0,0,(VLOOKUP(M48,Tabel2[#All],6,FALSE)))</f>
        <v>0</v>
      </c>
      <c r="AA87" s="141"/>
      <c r="AB87" s="142">
        <f>X87*Z87</f>
        <v>0</v>
      </c>
      <c r="AC87" s="143"/>
      <c r="AD87" s="209">
        <f t="shared" ref="AD87:AD96" si="3">IF($E$21="*",0,AB87/(VLOOKUP($AD$86,Valutakurser,3,FALSE))*100)</f>
        <v>0</v>
      </c>
      <c r="AE87" s="209"/>
      <c r="AF87" s="62"/>
      <c r="AG87" s="73"/>
    </row>
    <row r="88" spans="1:36" ht="12" hidden="1" customHeight="1">
      <c r="A88" s="72"/>
      <c r="B88" s="155" t="s">
        <v>317</v>
      </c>
      <c r="C88" s="156"/>
      <c r="D88" s="156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  <c r="V88" s="156"/>
      <c r="W88" s="157"/>
      <c r="X88" s="140">
        <f>IF(AI6&lt;&gt;1,0,IF(ISBLANK($M$48),0,IF($Z$88=0,0,IF(AA51&gt;=28,AA51-28,0))))</f>
        <v>0</v>
      </c>
      <c r="Y88" s="141"/>
      <c r="Z88" s="140">
        <f>IFERROR(IF($M$48="*",0,-(VLOOKUP(AJ48,Data!A:G,7,FALSE))),0)</f>
        <v>0</v>
      </c>
      <c r="AA88" s="141"/>
      <c r="AB88" s="142">
        <f>X88*Z88</f>
        <v>0</v>
      </c>
      <c r="AC88" s="143"/>
      <c r="AD88" s="209">
        <f t="shared" si="3"/>
        <v>0</v>
      </c>
      <c r="AE88" s="209"/>
      <c r="AF88" s="62"/>
      <c r="AG88" s="73"/>
    </row>
    <row r="89" spans="1:36" ht="12" hidden="1" customHeight="1">
      <c r="A89" s="72"/>
      <c r="B89" s="214" t="s">
        <v>310</v>
      </c>
      <c r="C89" s="215"/>
      <c r="D89" s="216"/>
      <c r="E89" s="159" t="str">
        <f>Q60</f>
        <v>Breakfast</v>
      </c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  <c r="V89" s="156"/>
      <c r="W89" s="157"/>
      <c r="X89" s="223">
        <f>IF($AI$6=1,T60,0)</f>
        <v>0</v>
      </c>
      <c r="Y89" s="224"/>
      <c r="Z89" s="225">
        <f>IF(ISBLANK(Breakfastnumber),0,-15%)</f>
        <v>0</v>
      </c>
      <c r="AA89" s="226"/>
      <c r="AB89" s="142">
        <f>IF(ISBLANK(X89),0,X89*Z89*$Z$87)</f>
        <v>0</v>
      </c>
      <c r="AC89" s="143"/>
      <c r="AD89" s="209">
        <f t="shared" si="3"/>
        <v>0</v>
      </c>
      <c r="AE89" s="209"/>
      <c r="AF89" s="62"/>
      <c r="AG89" s="73"/>
    </row>
    <row r="90" spans="1:36" ht="12" hidden="1" customHeight="1">
      <c r="A90" s="72"/>
      <c r="B90" s="217"/>
      <c r="C90" s="218"/>
      <c r="D90" s="219"/>
      <c r="E90" s="159" t="str">
        <f>Q61</f>
        <v>Lunch</v>
      </c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7"/>
      <c r="X90" s="223">
        <f t="shared" ref="X90:X91" si="4">IF($AI$6=1,T61,0)</f>
        <v>0</v>
      </c>
      <c r="Y90" s="224"/>
      <c r="Z90" s="225">
        <f>IF(ISBLANK(Lunchnumber),0,-30%)</f>
        <v>0</v>
      </c>
      <c r="AA90" s="226"/>
      <c r="AB90" s="142">
        <f t="shared" ref="AB90:AB91" si="5">IF(ISBLANK(X90),0,X90*Z90*$Z$87)</f>
        <v>0</v>
      </c>
      <c r="AC90" s="143"/>
      <c r="AD90" s="209">
        <f t="shared" si="3"/>
        <v>0</v>
      </c>
      <c r="AE90" s="209"/>
      <c r="AF90" s="62"/>
      <c r="AG90" s="73"/>
    </row>
    <row r="91" spans="1:36" ht="12" hidden="1" customHeight="1">
      <c r="A91" s="72"/>
      <c r="B91" s="220"/>
      <c r="C91" s="221"/>
      <c r="D91" s="222"/>
      <c r="E91" s="159" t="str">
        <f>Q62</f>
        <v>Dinner</v>
      </c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  <c r="V91" s="156"/>
      <c r="W91" s="157"/>
      <c r="X91" s="223">
        <f t="shared" si="4"/>
        <v>0</v>
      </c>
      <c r="Y91" s="224"/>
      <c r="Z91" s="225">
        <f>IF(ISBLANK(Dinnernumber),0,-30%)</f>
        <v>0</v>
      </c>
      <c r="AA91" s="226"/>
      <c r="AB91" s="142">
        <f t="shared" si="5"/>
        <v>0</v>
      </c>
      <c r="AC91" s="143"/>
      <c r="AD91" s="209">
        <f t="shared" si="3"/>
        <v>0</v>
      </c>
      <c r="AE91" s="209"/>
      <c r="AF91" s="62"/>
      <c r="AG91" s="73"/>
    </row>
    <row r="92" spans="1:36" ht="12" hidden="1" customHeight="1">
      <c r="A92" s="72"/>
      <c r="B92" s="155" t="str">
        <f>G60</f>
        <v>Travel days at your own expense</v>
      </c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7"/>
      <c r="X92" s="140">
        <f>N60</f>
        <v>0</v>
      </c>
      <c r="Y92" s="141"/>
      <c r="Z92" s="140">
        <f>IF(X92=0,0,-Z87)</f>
        <v>0</v>
      </c>
      <c r="AA92" s="141"/>
      <c r="AB92" s="142">
        <f>X92*Z92</f>
        <v>0</v>
      </c>
      <c r="AC92" s="143"/>
      <c r="AD92" s="209">
        <f t="shared" si="3"/>
        <v>0</v>
      </c>
      <c r="AE92" s="209"/>
      <c r="AF92" s="62"/>
      <c r="AG92" s="73"/>
    </row>
    <row r="93" spans="1:36" ht="12" customHeight="1">
      <c r="A93" s="72"/>
      <c r="B93" s="155" t="str">
        <f>G56</f>
        <v>Days with undeclared accommodation</v>
      </c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7"/>
      <c r="X93" s="140">
        <f>N56</f>
        <v>0</v>
      </c>
      <c r="Y93" s="141"/>
      <c r="Z93" s="140">
        <f>IF(N56=0,0,Data!O5)</f>
        <v>0</v>
      </c>
      <c r="AA93" s="141"/>
      <c r="AB93" s="142">
        <f>X93*Z93</f>
        <v>0</v>
      </c>
      <c r="AC93" s="143"/>
      <c r="AD93" s="209">
        <f t="shared" si="3"/>
        <v>0</v>
      </c>
      <c r="AE93" s="209"/>
      <c r="AF93" s="62"/>
      <c r="AG93" s="73"/>
    </row>
    <row r="94" spans="1:36" ht="12" customHeight="1">
      <c r="A94" s="72"/>
      <c r="B94" s="155" t="str">
        <f>Q55</f>
        <v>Transportation in your own car</v>
      </c>
      <c r="C94" s="156"/>
      <c r="D94" s="156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  <c r="V94" s="156"/>
      <c r="W94" s="157"/>
      <c r="X94" s="140">
        <f>Z58</f>
        <v>0</v>
      </c>
      <c r="Y94" s="141"/>
      <c r="Z94" s="140">
        <f>IF(Z58=0,0,Data!O2)</f>
        <v>0</v>
      </c>
      <c r="AA94" s="141"/>
      <c r="AB94" s="142">
        <f>X94*Z94</f>
        <v>0</v>
      </c>
      <c r="AC94" s="143"/>
      <c r="AD94" s="209">
        <f t="shared" si="3"/>
        <v>0</v>
      </c>
      <c r="AE94" s="209"/>
      <c r="AF94" s="62"/>
      <c r="AG94" s="73"/>
    </row>
    <row r="95" spans="1:36" ht="12" customHeight="1">
      <c r="A95" s="72"/>
      <c r="B95" s="155" t="s">
        <v>249</v>
      </c>
      <c r="C95" s="156"/>
      <c r="D95" s="156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  <c r="V95" s="156"/>
      <c r="W95" s="156"/>
      <c r="X95" s="156"/>
      <c r="Y95" s="156"/>
      <c r="Z95" s="156"/>
      <c r="AA95" s="157"/>
      <c r="AB95" s="142">
        <f>AB13</f>
        <v>0</v>
      </c>
      <c r="AC95" s="143"/>
      <c r="AD95" s="209">
        <f t="shared" si="3"/>
        <v>0</v>
      </c>
      <c r="AE95" s="209"/>
      <c r="AF95" s="62"/>
      <c r="AG95" s="73"/>
    </row>
    <row r="96" spans="1:36" ht="12" customHeight="1">
      <c r="A96" s="72"/>
      <c r="B96" s="155" t="s">
        <v>309</v>
      </c>
      <c r="C96" s="156"/>
      <c r="D96" s="156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  <c r="V96" s="156"/>
      <c r="W96" s="156"/>
      <c r="X96" s="156"/>
      <c r="Y96" s="156"/>
      <c r="Z96" s="156"/>
      <c r="AA96" s="157"/>
      <c r="AB96" s="142">
        <f>AB82</f>
        <v>0</v>
      </c>
      <c r="AC96" s="143"/>
      <c r="AD96" s="209">
        <f t="shared" si="3"/>
        <v>0</v>
      </c>
      <c r="AE96" s="209"/>
      <c r="AF96" s="62"/>
      <c r="AG96" s="73"/>
    </row>
    <row r="97" spans="1:37" ht="12" customHeight="1">
      <c r="A97" s="72"/>
      <c r="B97" s="252" t="s">
        <v>313</v>
      </c>
      <c r="C97" s="253"/>
      <c r="D97" s="253"/>
      <c r="E97" s="253"/>
      <c r="F97" s="253"/>
      <c r="G97" s="253"/>
      <c r="H97" s="253"/>
      <c r="I97" s="253"/>
      <c r="J97" s="253"/>
      <c r="K97" s="253"/>
      <c r="L97" s="253"/>
      <c r="M97" s="253"/>
      <c r="N97" s="253"/>
      <c r="O97" s="253"/>
      <c r="P97" s="253"/>
      <c r="Q97" s="253"/>
      <c r="R97" s="253"/>
      <c r="S97" s="253"/>
      <c r="T97" s="253"/>
      <c r="U97" s="253"/>
      <c r="V97" s="253"/>
      <c r="W97" s="253"/>
      <c r="X97" s="253"/>
      <c r="Y97" s="253"/>
      <c r="Z97" s="253"/>
      <c r="AA97" s="254"/>
      <c r="AB97" s="142">
        <f>SUM(AB87:AC96)</f>
        <v>0</v>
      </c>
      <c r="AC97" s="143"/>
      <c r="AD97" s="209">
        <f>SUM(AD87:AE96)</f>
        <v>0</v>
      </c>
      <c r="AE97" s="209"/>
      <c r="AF97" s="62"/>
      <c r="AG97" s="73"/>
    </row>
    <row r="98" spans="1:37" ht="3" customHeight="1" thickBot="1">
      <c r="A98" s="72"/>
      <c r="B98" s="66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5"/>
      <c r="AG98" s="73"/>
    </row>
    <row r="99" spans="1:37" ht="3" customHeight="1" thickBot="1">
      <c r="A99" s="72"/>
      <c r="B99" s="112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3"/>
    </row>
    <row r="100" spans="1:37" ht="12" customHeight="1">
      <c r="A100" s="72"/>
      <c r="B100" s="56" t="s">
        <v>318</v>
      </c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8"/>
      <c r="AG100" s="73"/>
    </row>
    <row r="101" spans="1:37" ht="12" customHeight="1" thickBot="1">
      <c r="A101" s="72"/>
      <c r="B101" s="204"/>
      <c r="C101" s="205"/>
      <c r="D101" s="205"/>
      <c r="E101" s="205"/>
      <c r="F101" s="205"/>
      <c r="G101" s="205"/>
      <c r="H101" s="205"/>
      <c r="I101" s="205"/>
      <c r="J101" s="205"/>
      <c r="K101" s="205"/>
      <c r="L101" s="205"/>
      <c r="M101" s="205"/>
      <c r="N101" s="205"/>
      <c r="O101" s="205"/>
      <c r="P101" s="205"/>
      <c r="Q101" s="205"/>
      <c r="R101" s="205"/>
      <c r="S101" s="205"/>
      <c r="T101" s="205"/>
      <c r="U101" s="205"/>
      <c r="V101" s="205"/>
      <c r="W101" s="205"/>
      <c r="X101" s="205"/>
      <c r="Y101" s="205"/>
      <c r="Z101" s="205"/>
      <c r="AA101" s="205"/>
      <c r="AB101" s="206" t="s">
        <v>198</v>
      </c>
      <c r="AC101" s="206"/>
      <c r="AD101" s="207" t="str">
        <f>IF(E21="*",0,VLOOKUP(AI23,Data!A:E,3,FALSE))</f>
        <v>EUR</v>
      </c>
      <c r="AE101" s="207"/>
      <c r="AF101" s="62"/>
      <c r="AG101" s="73"/>
    </row>
    <row r="102" spans="1:37" ht="12" customHeight="1" thickBot="1">
      <c r="A102" s="72"/>
      <c r="B102" s="80" t="s">
        <v>319</v>
      </c>
      <c r="C102" s="110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59"/>
      <c r="P102" s="160"/>
      <c r="Q102" s="161"/>
      <c r="R102" s="161"/>
      <c r="S102" s="161"/>
      <c r="T102" s="162"/>
      <c r="U102" s="59"/>
      <c r="V102" s="132" t="s">
        <v>342</v>
      </c>
      <c r="W102" s="132"/>
      <c r="X102" s="132"/>
      <c r="Y102" s="132"/>
      <c r="Z102" s="132"/>
      <c r="AA102" s="133"/>
      <c r="AB102" s="208">
        <f>AB97</f>
        <v>0</v>
      </c>
      <c r="AC102" s="208"/>
      <c r="AD102" s="209">
        <f>AD97+AD13</f>
        <v>0</v>
      </c>
      <c r="AE102" s="209"/>
      <c r="AF102" s="62"/>
      <c r="AG102" s="73"/>
    </row>
    <row r="103" spans="1:37" ht="3" customHeight="1" thickBot="1">
      <c r="A103" s="72"/>
      <c r="B103" s="66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5"/>
      <c r="AG103" s="73"/>
    </row>
    <row r="104" spans="1:37" ht="3" customHeight="1" thickBot="1">
      <c r="A104" s="72"/>
      <c r="B104" s="112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3"/>
    </row>
    <row r="105" spans="1:37" ht="12" customHeight="1">
      <c r="A105" s="72"/>
      <c r="B105" s="85" t="s">
        <v>333</v>
      </c>
      <c r="C105" s="46"/>
      <c r="D105" s="46"/>
      <c r="E105" s="46"/>
      <c r="F105" s="46"/>
      <c r="G105" s="46"/>
      <c r="H105" s="46"/>
      <c r="I105" s="46"/>
      <c r="J105" s="46"/>
      <c r="K105" s="46"/>
      <c r="L105" s="122" t="s">
        <v>663</v>
      </c>
      <c r="M105" s="122"/>
      <c r="N105" s="122"/>
      <c r="O105" s="122"/>
      <c r="P105" s="122"/>
      <c r="Q105" s="122"/>
      <c r="R105" s="46"/>
      <c r="S105" s="122" t="s">
        <v>664</v>
      </c>
      <c r="T105" s="122"/>
      <c r="U105" s="122"/>
      <c r="V105" s="122"/>
      <c r="W105" s="122"/>
      <c r="X105" s="122"/>
      <c r="Y105" s="46"/>
      <c r="Z105" s="46"/>
      <c r="AA105" s="46"/>
      <c r="AB105" s="46"/>
      <c r="AC105" s="46"/>
      <c r="AD105" s="46"/>
      <c r="AE105" s="46"/>
      <c r="AF105" s="47"/>
      <c r="AG105" s="73"/>
    </row>
    <row r="106" spans="1:37" ht="12" customHeight="1">
      <c r="A106" s="72"/>
      <c r="B106" s="35"/>
      <c r="C106" s="86"/>
      <c r="D106" s="87"/>
      <c r="E106" s="87"/>
      <c r="F106" s="87"/>
      <c r="G106" s="87"/>
      <c r="H106" s="87" t="s">
        <v>332</v>
      </c>
      <c r="I106" s="87"/>
      <c r="J106" s="88"/>
      <c r="K106" s="37"/>
      <c r="L106" s="89" t="s">
        <v>323</v>
      </c>
      <c r="M106" s="90"/>
      <c r="N106" s="123" t="str">
        <f>CONCATENATE(AI106,AJ106,AK106)</f>
        <v>28983000</v>
      </c>
      <c r="O106" s="124"/>
      <c r="P106" s="124"/>
      <c r="Q106" s="125"/>
      <c r="R106" s="37"/>
      <c r="S106" s="129"/>
      <c r="T106" s="130"/>
      <c r="U106" s="130"/>
      <c r="V106" s="130"/>
      <c r="W106" s="130"/>
      <c r="X106" s="131"/>
      <c r="Y106" s="91"/>
      <c r="Z106" s="37"/>
      <c r="AA106" s="37"/>
      <c r="AB106" s="37"/>
      <c r="AC106" s="37"/>
      <c r="AD106" s="37"/>
      <c r="AE106" s="37"/>
      <c r="AF106" s="48"/>
      <c r="AG106" s="73"/>
      <c r="AI106" s="1">
        <v>28983</v>
      </c>
      <c r="AJ106" s="1" t="str">
        <f>IF(ISBLANK(N107),"00",LEFT(N107,2))</f>
        <v>00</v>
      </c>
      <c r="AK106" s="1" t="str">
        <f>IF(ISBLANK(N110),"0",LEFT(N110,1))</f>
        <v>0</v>
      </c>
    </row>
    <row r="107" spans="1:37" ht="12" customHeight="1">
      <c r="A107" s="72"/>
      <c r="B107" s="35"/>
      <c r="C107" s="92" t="s">
        <v>329</v>
      </c>
      <c r="D107" s="93"/>
      <c r="E107" s="93" t="s">
        <v>330</v>
      </c>
      <c r="F107" s="94"/>
      <c r="G107" s="186"/>
      <c r="H107" s="187"/>
      <c r="I107" s="188"/>
      <c r="J107" s="95"/>
      <c r="K107" s="37"/>
      <c r="L107" s="89" t="s">
        <v>324</v>
      </c>
      <c r="M107" s="90"/>
      <c r="N107" s="126"/>
      <c r="O107" s="127"/>
      <c r="P107" s="127"/>
      <c r="Q107" s="128"/>
      <c r="R107" s="37"/>
      <c r="S107" s="89" t="s">
        <v>324</v>
      </c>
      <c r="T107" s="90"/>
      <c r="U107" s="126">
        <f>N107</f>
        <v>0</v>
      </c>
      <c r="V107" s="127"/>
      <c r="W107" s="127"/>
      <c r="X107" s="128"/>
      <c r="Y107" s="91"/>
      <c r="Z107" s="37"/>
      <c r="AA107" s="37"/>
      <c r="AB107" s="37"/>
      <c r="AC107" s="37"/>
      <c r="AD107" s="37"/>
      <c r="AE107" s="37"/>
      <c r="AF107" s="48"/>
      <c r="AG107" s="73"/>
    </row>
    <row r="108" spans="1:37" ht="12" customHeight="1">
      <c r="A108" s="72"/>
      <c r="B108" s="35"/>
      <c r="C108" s="92" t="s">
        <v>329</v>
      </c>
      <c r="D108" s="93"/>
      <c r="E108" s="93">
        <v>9665</v>
      </c>
      <c r="F108" s="94"/>
      <c r="G108" s="186"/>
      <c r="H108" s="187"/>
      <c r="I108" s="188"/>
      <c r="J108" s="95"/>
      <c r="K108" s="37"/>
      <c r="L108" s="89" t="s">
        <v>325</v>
      </c>
      <c r="M108" s="90"/>
      <c r="N108" s="126"/>
      <c r="O108" s="127"/>
      <c r="P108" s="127"/>
      <c r="Q108" s="128"/>
      <c r="R108" s="37"/>
      <c r="S108" s="89" t="s">
        <v>325</v>
      </c>
      <c r="T108" s="90"/>
      <c r="U108" s="126">
        <f t="shared" ref="U108:U111" si="6">N108</f>
        <v>0</v>
      </c>
      <c r="V108" s="127"/>
      <c r="W108" s="127"/>
      <c r="X108" s="128"/>
      <c r="Y108" s="91"/>
      <c r="Z108" s="37"/>
      <c r="AA108" s="37"/>
      <c r="AB108" s="37"/>
      <c r="AC108" s="37"/>
      <c r="AD108" s="37"/>
      <c r="AE108" s="37"/>
      <c r="AF108" s="48"/>
      <c r="AG108" s="73"/>
    </row>
    <row r="109" spans="1:37" ht="12" customHeight="1">
      <c r="A109" s="72"/>
      <c r="B109" s="35"/>
      <c r="C109" s="96"/>
      <c r="D109" s="37"/>
      <c r="E109" s="37"/>
      <c r="F109" s="37"/>
      <c r="G109" s="37"/>
      <c r="H109" s="37"/>
      <c r="I109" s="37"/>
      <c r="J109" s="95"/>
      <c r="K109" s="37"/>
      <c r="L109" s="89" t="s">
        <v>326</v>
      </c>
      <c r="M109" s="90"/>
      <c r="N109" s="126"/>
      <c r="O109" s="127"/>
      <c r="P109" s="127"/>
      <c r="Q109" s="128"/>
      <c r="R109" s="37"/>
      <c r="S109" s="89" t="s">
        <v>326</v>
      </c>
      <c r="T109" s="90"/>
      <c r="U109" s="126">
        <f t="shared" si="6"/>
        <v>0</v>
      </c>
      <c r="V109" s="127"/>
      <c r="W109" s="127"/>
      <c r="X109" s="128"/>
      <c r="Y109" s="91"/>
      <c r="Z109" s="37"/>
      <c r="AA109" s="37"/>
      <c r="AB109" s="37"/>
      <c r="AC109" s="37"/>
      <c r="AD109" s="37"/>
      <c r="AE109" s="37"/>
      <c r="AF109" s="48"/>
      <c r="AG109" s="73"/>
    </row>
    <row r="110" spans="1:37" ht="12" customHeight="1">
      <c r="A110" s="72"/>
      <c r="B110" s="35"/>
      <c r="C110" s="96" t="s">
        <v>670</v>
      </c>
      <c r="D110" s="37"/>
      <c r="E110" s="37"/>
      <c r="F110" s="37"/>
      <c r="G110" s="37"/>
      <c r="H110" s="37"/>
      <c r="I110" s="37"/>
      <c r="J110" s="95"/>
      <c r="K110" s="37"/>
      <c r="L110" s="89" t="s">
        <v>327</v>
      </c>
      <c r="M110" s="90"/>
      <c r="N110" s="126"/>
      <c r="O110" s="127"/>
      <c r="P110" s="127"/>
      <c r="Q110" s="128"/>
      <c r="R110" s="37"/>
      <c r="S110" s="89" t="s">
        <v>327</v>
      </c>
      <c r="T110" s="90"/>
      <c r="U110" s="126">
        <f t="shared" si="6"/>
        <v>0</v>
      </c>
      <c r="V110" s="127"/>
      <c r="W110" s="127"/>
      <c r="X110" s="128"/>
      <c r="Y110" s="91"/>
      <c r="Z110" s="37"/>
      <c r="AA110" s="37"/>
      <c r="AB110" s="37"/>
      <c r="AC110" s="37"/>
      <c r="AD110" s="37"/>
      <c r="AE110" s="37"/>
      <c r="AF110" s="48"/>
      <c r="AG110" s="73"/>
    </row>
    <row r="111" spans="1:37" ht="12" customHeight="1">
      <c r="A111" s="72"/>
      <c r="B111" s="35"/>
      <c r="C111" s="97" t="s">
        <v>331</v>
      </c>
      <c r="D111" s="98"/>
      <c r="E111" s="98"/>
      <c r="F111" s="98"/>
      <c r="G111" s="98"/>
      <c r="H111" s="98"/>
      <c r="I111" s="98"/>
      <c r="J111" s="99"/>
      <c r="K111" s="37"/>
      <c r="L111" s="89" t="s">
        <v>328</v>
      </c>
      <c r="M111" s="90"/>
      <c r="N111" s="126"/>
      <c r="O111" s="127"/>
      <c r="P111" s="127"/>
      <c r="Q111" s="128"/>
      <c r="R111" s="37"/>
      <c r="S111" s="89" t="s">
        <v>328</v>
      </c>
      <c r="T111" s="90"/>
      <c r="U111" s="126">
        <f t="shared" si="6"/>
        <v>0</v>
      </c>
      <c r="V111" s="127"/>
      <c r="W111" s="127"/>
      <c r="X111" s="128"/>
      <c r="Y111" s="91"/>
      <c r="Z111" s="37"/>
      <c r="AA111" s="37"/>
      <c r="AB111" s="37"/>
      <c r="AC111" s="37"/>
      <c r="AD111" s="37"/>
      <c r="AE111" s="37"/>
      <c r="AF111" s="48"/>
      <c r="AG111" s="73"/>
    </row>
    <row r="112" spans="1:37" ht="12" customHeight="1" thickBot="1">
      <c r="A112" s="72"/>
      <c r="B112" s="100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121">
        <f>IF(AD95=0,0,(AD95))</f>
        <v>0</v>
      </c>
      <c r="O112" s="121"/>
      <c r="P112" s="121"/>
      <c r="Q112" s="121"/>
      <c r="R112" s="50"/>
      <c r="S112" s="50"/>
      <c r="T112" s="50"/>
      <c r="U112" s="121">
        <f>IF(AD102=0,0,(AD102-AD95))</f>
        <v>0</v>
      </c>
      <c r="V112" s="121"/>
      <c r="W112" s="121"/>
      <c r="X112" s="121"/>
      <c r="Y112" s="50"/>
      <c r="Z112" s="50"/>
      <c r="AA112" s="50"/>
      <c r="AB112" s="50"/>
      <c r="AC112" s="50"/>
      <c r="AD112" s="50"/>
      <c r="AE112" s="50"/>
      <c r="AF112" s="51"/>
      <c r="AG112" s="73"/>
    </row>
    <row r="113" spans="1:33" ht="3" customHeight="1" thickBot="1">
      <c r="A113" s="101"/>
      <c r="B113" s="113"/>
      <c r="C113" s="102"/>
      <c r="D113" s="102"/>
      <c r="E113" s="102"/>
      <c r="F113" s="102"/>
      <c r="G113" s="102"/>
      <c r="H113" s="102"/>
      <c r="I113" s="102"/>
      <c r="J113" s="102"/>
      <c r="K113" s="102"/>
      <c r="L113" s="102"/>
      <c r="M113" s="102"/>
      <c r="N113" s="102"/>
      <c r="O113" s="102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  <c r="AA113" s="102"/>
      <c r="AB113" s="102"/>
      <c r="AC113" s="102"/>
      <c r="AD113" s="102"/>
      <c r="AE113" s="102"/>
      <c r="AF113" s="102"/>
      <c r="AG113" s="103"/>
    </row>
  </sheetData>
  <sheetProtection algorithmName="SHA-512" hashValue="OGPlSfz+mzisvOgbzn0KpBacF8DLCUGI08qJR48q/WKjDWLXid/DCG26U56kfm2qXYbr1xDu+dHbhpbaciHGpg==" saltValue="nTkC/YDAsi6l7EXa6E4LJw==" spinCount="100000" sheet="1" objects="1" scenarios="1"/>
  <mergeCells count="201">
    <mergeCell ref="Z94:AA94"/>
    <mergeCell ref="AB94:AC94"/>
    <mergeCell ref="AD92:AE92"/>
    <mergeCell ref="X93:Y93"/>
    <mergeCell ref="AD93:AE93"/>
    <mergeCell ref="X76:Y76"/>
    <mergeCell ref="Z76:AA76"/>
    <mergeCell ref="AD76:AE76"/>
    <mergeCell ref="X75:Y75"/>
    <mergeCell ref="Z75:AA75"/>
    <mergeCell ref="Z86:AA86"/>
    <mergeCell ref="X86:Y86"/>
    <mergeCell ref="AB79:AC79"/>
    <mergeCell ref="AD79:AE79"/>
    <mergeCell ref="X81:Y81"/>
    <mergeCell ref="Z81:AA81"/>
    <mergeCell ref="AB81:AC81"/>
    <mergeCell ref="AD81:AE81"/>
    <mergeCell ref="AB80:AC80"/>
    <mergeCell ref="X80:Y80"/>
    <mergeCell ref="Z80:AA80"/>
    <mergeCell ref="AD82:AE82"/>
    <mergeCell ref="X87:Y87"/>
    <mergeCell ref="X78:Y78"/>
    <mergeCell ref="AD97:AE97"/>
    <mergeCell ref="X88:Y88"/>
    <mergeCell ref="Z88:AA88"/>
    <mergeCell ref="AB88:AC88"/>
    <mergeCell ref="AD88:AE88"/>
    <mergeCell ref="B97:AA97"/>
    <mergeCell ref="AD89:AE89"/>
    <mergeCell ref="B86:W86"/>
    <mergeCell ref="B87:W87"/>
    <mergeCell ref="B88:W88"/>
    <mergeCell ref="X89:Y89"/>
    <mergeCell ref="Z89:AA89"/>
    <mergeCell ref="AB89:AC89"/>
    <mergeCell ref="AD94:AE94"/>
    <mergeCell ref="AB96:AC96"/>
    <mergeCell ref="AD96:AE96"/>
    <mergeCell ref="B94:W94"/>
    <mergeCell ref="B96:AA96"/>
    <mergeCell ref="X94:Y94"/>
    <mergeCell ref="Z87:AA87"/>
    <mergeCell ref="AB86:AC86"/>
    <mergeCell ref="AD86:AE86"/>
    <mergeCell ref="AB87:AC87"/>
    <mergeCell ref="AD87:AE87"/>
    <mergeCell ref="X21:Y21"/>
    <mergeCell ref="X20:Y20"/>
    <mergeCell ref="U21:V21"/>
    <mergeCell ref="AD74:AE74"/>
    <mergeCell ref="X74:Y74"/>
    <mergeCell ref="Z74:AA74"/>
    <mergeCell ref="AD73:AE73"/>
    <mergeCell ref="AB73:AC73"/>
    <mergeCell ref="Z73:AA73"/>
    <mergeCell ref="X73:Y73"/>
    <mergeCell ref="AB74:AC74"/>
    <mergeCell ref="AB12:AC12"/>
    <mergeCell ref="AD12:AE12"/>
    <mergeCell ref="X13:Y13"/>
    <mergeCell ref="Z13:AA13"/>
    <mergeCell ref="AB13:AC13"/>
    <mergeCell ref="AD13:AE13"/>
    <mergeCell ref="AD75:AE75"/>
    <mergeCell ref="B75:C75"/>
    <mergeCell ref="D75:W75"/>
    <mergeCell ref="AA16:AB16"/>
    <mergeCell ref="G51:H51"/>
    <mergeCell ref="AA51:AB51"/>
    <mergeCell ref="Z48:AE50"/>
    <mergeCell ref="M27:Q27"/>
    <mergeCell ref="G41:O41"/>
    <mergeCell ref="T41:AB41"/>
    <mergeCell ref="G43:I43"/>
    <mergeCell ref="T43:V43"/>
    <mergeCell ref="G37:O37"/>
    <mergeCell ref="T37:AB37"/>
    <mergeCell ref="G39:I39"/>
    <mergeCell ref="T39:V39"/>
    <mergeCell ref="G33:O33"/>
    <mergeCell ref="AD16:AE16"/>
    <mergeCell ref="Z78:AA78"/>
    <mergeCell ref="E17:N17"/>
    <mergeCell ref="S17:AC17"/>
    <mergeCell ref="B82:AA82"/>
    <mergeCell ref="B79:C79"/>
    <mergeCell ref="D79:W79"/>
    <mergeCell ref="AD80:AE80"/>
    <mergeCell ref="AD78:AE78"/>
    <mergeCell ref="T33:AB33"/>
    <mergeCell ref="AB78:AC78"/>
    <mergeCell ref="G35:I35"/>
    <mergeCell ref="Q31:AB31"/>
    <mergeCell ref="G29:I29"/>
    <mergeCell ref="B77:C77"/>
    <mergeCell ref="D77:W77"/>
    <mergeCell ref="X77:Y77"/>
    <mergeCell ref="Z77:AA77"/>
    <mergeCell ref="AB75:AC75"/>
    <mergeCell ref="AB77:AC77"/>
    <mergeCell ref="AD77:AE77"/>
    <mergeCell ref="AB76:AC76"/>
    <mergeCell ref="B76:C76"/>
    <mergeCell ref="D76:W76"/>
    <mergeCell ref="D81:W81"/>
    <mergeCell ref="E91:W91"/>
    <mergeCell ref="B89:D91"/>
    <mergeCell ref="X90:Y90"/>
    <mergeCell ref="Z90:AA90"/>
    <mergeCell ref="AB90:AC90"/>
    <mergeCell ref="AD90:AE90"/>
    <mergeCell ref="X91:Y91"/>
    <mergeCell ref="Z91:AA91"/>
    <mergeCell ref="AB91:AC91"/>
    <mergeCell ref="AD91:AE91"/>
    <mergeCell ref="B80:C80"/>
    <mergeCell ref="B1:AF1"/>
    <mergeCell ref="G107:I107"/>
    <mergeCell ref="G108:I108"/>
    <mergeCell ref="B69:E69"/>
    <mergeCell ref="B66:E66"/>
    <mergeCell ref="B67:E68"/>
    <mergeCell ref="F67:AF68"/>
    <mergeCell ref="F66:AF66"/>
    <mergeCell ref="F69:AF69"/>
    <mergeCell ref="B101:W101"/>
    <mergeCell ref="X101:Y101"/>
    <mergeCell ref="Z101:AA101"/>
    <mergeCell ref="AB101:AC101"/>
    <mergeCell ref="AD101:AE101"/>
    <mergeCell ref="AB102:AC102"/>
    <mergeCell ref="AD102:AE102"/>
    <mergeCell ref="X12:Y12"/>
    <mergeCell ref="Z12:AA12"/>
    <mergeCell ref="AD95:AE95"/>
    <mergeCell ref="B13:W13"/>
    <mergeCell ref="E89:W89"/>
    <mergeCell ref="E90:W90"/>
    <mergeCell ref="D3:J3"/>
    <mergeCell ref="O3:W3"/>
    <mergeCell ref="B12:W12"/>
    <mergeCell ref="E27:F27"/>
    <mergeCell ref="G27:H27"/>
    <mergeCell ref="S19:V19"/>
    <mergeCell ref="B74:C74"/>
    <mergeCell ref="D74:W74"/>
    <mergeCell ref="B73:C73"/>
    <mergeCell ref="D73:W73"/>
    <mergeCell ref="G50:H50"/>
    <mergeCell ref="R51:S51"/>
    <mergeCell ref="R50:S50"/>
    <mergeCell ref="E48:I48"/>
    <mergeCell ref="O48:V48"/>
    <mergeCell ref="Q62:S62"/>
    <mergeCell ref="G23:N23"/>
    <mergeCell ref="E19:N19"/>
    <mergeCell ref="G21:N21"/>
    <mergeCell ref="G31:O31"/>
    <mergeCell ref="G60:M60"/>
    <mergeCell ref="V102:AA102"/>
    <mergeCell ref="AA19:AC19"/>
    <mergeCell ref="D80:W80"/>
    <mergeCell ref="Z93:AA93"/>
    <mergeCell ref="AB93:AC93"/>
    <mergeCell ref="AB97:AC97"/>
    <mergeCell ref="Q57:R57"/>
    <mergeCell ref="S57:Y57"/>
    <mergeCell ref="S56:Y56"/>
    <mergeCell ref="X79:Y79"/>
    <mergeCell ref="Z79:AA79"/>
    <mergeCell ref="B92:W92"/>
    <mergeCell ref="B93:W93"/>
    <mergeCell ref="X92:Y92"/>
    <mergeCell ref="Z92:AA92"/>
    <mergeCell ref="AB92:AC92"/>
    <mergeCell ref="G56:M56"/>
    <mergeCell ref="AB82:AC82"/>
    <mergeCell ref="B95:AA95"/>
    <mergeCell ref="AB95:AC95"/>
    <mergeCell ref="P102:T102"/>
    <mergeCell ref="B78:C78"/>
    <mergeCell ref="D78:W78"/>
    <mergeCell ref="B81:C81"/>
    <mergeCell ref="U112:X112"/>
    <mergeCell ref="N112:Q112"/>
    <mergeCell ref="L105:Q105"/>
    <mergeCell ref="S105:X105"/>
    <mergeCell ref="N106:Q106"/>
    <mergeCell ref="N107:Q107"/>
    <mergeCell ref="N108:Q108"/>
    <mergeCell ref="N109:Q109"/>
    <mergeCell ref="N110:Q110"/>
    <mergeCell ref="N111:Q111"/>
    <mergeCell ref="U107:X107"/>
    <mergeCell ref="U108:X108"/>
    <mergeCell ref="U109:X109"/>
    <mergeCell ref="U110:X110"/>
    <mergeCell ref="U111:X111"/>
    <mergeCell ref="S106:X106"/>
  </mergeCells>
  <conditionalFormatting sqref="Q31:AB31">
    <cfRule type="expression" dxfId="3" priority="6">
      <formula>0</formula>
    </cfRule>
  </conditionalFormatting>
  <conditionalFormatting sqref="G21:N21">
    <cfRule type="expression" dxfId="2" priority="2">
      <formula>0</formula>
    </cfRule>
  </conditionalFormatting>
  <conditionalFormatting sqref="G23:N23">
    <cfRule type="expression" dxfId="1" priority="1">
      <formula>0</formula>
    </cfRule>
  </conditionalFormatting>
  <dataValidations count="28">
    <dataValidation type="list" allowBlank="1" showInputMessage="1" showErrorMessage="1" prompt="Choose day" sqref="S21 E51 P51" xr:uid="{00000000-0002-0000-0000-000000000000}">
      <formula1>Day</formula1>
    </dataValidation>
    <dataValidation type="list" allowBlank="1" showInputMessage="1" showErrorMessage="1" prompt="Choose month" sqref="Q51 T21 F51" xr:uid="{00000000-0002-0000-0000-000001000000}">
      <formula1>Month</formula1>
    </dataValidation>
    <dataValidation type="list" allowBlank="1" showInputMessage="1" showErrorMessage="1" prompt="Choose year" sqref="U21:V21" xr:uid="{00000000-0002-0000-0000-000002000000}">
      <formula1>Birthyear</formula1>
    </dataValidation>
    <dataValidation type="list" allowBlank="1" showInputMessage="1" showErrorMessage="1" prompt="Choose your residence country code in the drop down menu." sqref="E21" xr:uid="{00000000-0002-0000-0000-000003000000}">
      <formula1>Countrylist</formula1>
    </dataValidation>
    <dataValidation type="textLength" operator="equal" allowBlank="1" showInputMessage="1" showErrorMessage="1" error="Please enter 9 characters" prompt="Routing numbers have 9 characters." sqref="T39:V39" xr:uid="{00000000-0002-0000-0000-000004000000}">
      <formula1>9</formula1>
    </dataValidation>
    <dataValidation type="textLength" operator="equal" allowBlank="1" showInputMessage="1" showErrorMessage="1" sqref="T49:V49 T52:V54 T57:V57 T44:V47 T63:V65 T70:V71" xr:uid="{00000000-0002-0000-0000-000005000000}">
      <formula1>6</formula1>
    </dataValidation>
    <dataValidation type="list" allowBlank="1" showInputMessage="1" showErrorMessage="1" sqref="X74:Y81 X13:Y13" xr:uid="{00000000-0002-0000-0000-000006000000}">
      <formula1>Currencies</formula1>
    </dataValidation>
    <dataValidation type="list" allowBlank="1" showInputMessage="1" showErrorMessage="1" prompt="Choose hour" sqref="U51 J51" xr:uid="{00000000-0002-0000-0000-000007000000}">
      <formula1>Hour</formula1>
    </dataValidation>
    <dataValidation type="list" allowBlank="1" showInputMessage="1" showErrorMessage="1" prompt="Choose minute" sqref="V51 K51" xr:uid="{00000000-0002-0000-0000-000008000000}">
      <formula1>Minute</formula1>
    </dataValidation>
    <dataValidation type="list" allowBlank="1" showInputMessage="1" showErrorMessage="1" prompt="Choose year" sqref="R51:S51 G51:H51" xr:uid="{00000000-0002-0000-0000-000009000000}">
      <formula1>Travelyear</formula1>
    </dataValidation>
    <dataValidation type="whole" operator="greaterThanOrEqual" allowBlank="1" showInputMessage="1" showErrorMessage="1" sqref="Z56:Z57 T60:T62 E59:E62" xr:uid="{00000000-0002-0000-0000-00000A000000}">
      <formula1>0</formula1>
    </dataValidation>
    <dataValidation type="textLength" operator="equal" showInputMessage="1" showErrorMessage="1" error="Need 6 characters." prompt="Enter BSB code (6 characters)." sqref="T43:V43" xr:uid="{00000000-0002-0000-0000-00000B000000}">
      <formula1>6</formula1>
    </dataValidation>
    <dataValidation type="textLength" allowBlank="1" showInputMessage="1" showErrorMessage="1" error="Please enter a SWIFT code with 8 or 11 characters." prompt="SWIFT codes have 8 or 11 characters." sqref="G29:I29 G35:I35 G43:I43" xr:uid="{00000000-0002-0000-0000-00000C000000}">
      <formula1>8</formula1>
      <formula2>11</formula2>
    </dataValidation>
    <dataValidation allowBlank="1" showInputMessage="1" showErrorMessage="1" error="Please enter a SWIFT code with 8 or 11 characters." prompt="SWIFT codes have 8 or 11 characters. If you have a bank in the USA that does not have a SWIFT, you can leave this field blank." sqref="G39:I39" xr:uid="{00000000-0002-0000-0000-00000D000000}"/>
    <dataValidation allowBlank="1" showInputMessage="1" showErrorMessage="1" prompt="Name of your bank." sqref="G37:O37 G33:O33 G41:O41" xr:uid="{00000000-0002-0000-0000-00000E000000}"/>
    <dataValidation allowBlank="1" showInputMessage="1" showErrorMessage="1" prompt="Your bank account number." sqref="T33:AB33 T41:AB41" xr:uid="{00000000-0002-0000-0000-00000F000000}"/>
    <dataValidation type="textLength" operator="equal" allowBlank="1" showInputMessage="1" showErrorMessage="1" error="Bank registration numbers have 4 characters." prompt="Your bank registration number." sqref="G27:H27" xr:uid="{00000000-0002-0000-0000-000010000000}">
      <formula1>4</formula1>
    </dataValidation>
    <dataValidation type="textLength" allowBlank="1" showInputMessage="1" showErrorMessage="1" error="Account numbers in Denmark have from 6 to 10 characters." prompt="Your bank account number." sqref="M27:Q27" xr:uid="{00000000-0002-0000-0000-000011000000}">
      <formula1>6</formula1>
      <formula2>10</formula2>
    </dataValidation>
    <dataValidation type="textLength" operator="equal" allowBlank="1" showInputMessage="1" showErrorMessage="1" error="Need 4 digits." prompt="If you have Danish cpr number, enter the last 4 digits. If you don't, then leave this field blank." sqref="X21:Y21" xr:uid="{00000000-0002-0000-0000-000012000000}">
      <formula1>4</formula1>
    </dataValidation>
    <dataValidation type="list" allowBlank="1" showInputMessage="1" showErrorMessage="1" prompt="Choose the destination country code in the drop down menu." sqref="M48" xr:uid="{00000000-0002-0000-0000-000013000000}">
      <formula1>Allcountries</formula1>
    </dataValidation>
    <dataValidation type="textLength" operator="lessThanOrEqual" allowBlank="1" showInputMessage="1" showErrorMessage="1" error="Maximum 20 characters" prompt="Enter a reference here" sqref="P102:T102" xr:uid="{00000000-0002-0000-0000-000014000000}">
      <formula1>20</formula1>
    </dataValidation>
    <dataValidation type="textLength" operator="equal" allowBlank="1" showInputMessage="1" showErrorMessage="1" error="Must be 8 characters" sqref="N107:Q107" xr:uid="{00000000-0002-0000-0000-000015000000}">
      <formula1>8</formula1>
    </dataValidation>
    <dataValidation type="textLength" operator="equal" allowBlank="1" showInputMessage="1" showErrorMessage="1" error="Must be 10 characters" sqref="N108:Q108" xr:uid="{00000000-0002-0000-0000-000016000000}">
      <formula1>10</formula1>
    </dataValidation>
    <dataValidation type="textLength" operator="equal" allowBlank="1" showInputMessage="1" showErrorMessage="1" error="Must be 3 characters" sqref="N109:Q109" xr:uid="{00000000-0002-0000-0000-000017000000}">
      <formula1>3</formula1>
    </dataValidation>
    <dataValidation type="textLength" operator="equal" allowBlank="1" showInputMessage="1" showErrorMessage="1" error="Must be 2 characters" sqref="N110:Q110" xr:uid="{00000000-0002-0000-0000-000018000000}">
      <formula1>2</formula1>
    </dataValidation>
    <dataValidation type="textLength" allowBlank="1" showInputMessage="1" showErrorMessage="1" error="Must be 6 or 7 characters" sqref="N111:Q111" xr:uid="{00000000-0002-0000-0000-000019000000}">
      <formula1>6</formula1>
      <formula2>7</formula2>
    </dataValidation>
    <dataValidation type="textLength" operator="lessThan" allowBlank="1" showInputMessage="1" showErrorMessage="1" error="Maximum 25 characters." sqref="E48:I48" xr:uid="{00000000-0002-0000-0000-00001A000000}">
      <formula1>25</formula1>
    </dataValidation>
    <dataValidation type="list" allowBlank="1" showInputMessage="1" showErrorMessage="1" prompt="Choose your bank location code in the drop down menu, but only if the country is not your country of residence" sqref="E23" xr:uid="{00000000-0002-0000-0000-00001B000000}">
      <formula1>Countrylist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Footer>&amp;L&amp;P&amp;RVersion 5.049 06-10-2021</oddFooter>
  </headerFooter>
  <rowBreaks count="1" manualBreakCount="1">
    <brk id="71" max="32" man="1"/>
  </rowBreaks>
  <colBreaks count="1" manualBreakCount="1">
    <brk id="1" max="11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Unhideform">
                <anchor moveWithCells="1" sizeWithCells="1">
                  <from>
                    <xdr:col>10</xdr:col>
                    <xdr:colOff>38100</xdr:colOff>
                    <xdr:row>9</xdr:row>
                    <xdr:rowOff>0</xdr:rowOff>
                  </from>
                  <to>
                    <xdr:col>12</xdr:col>
                    <xdr:colOff>63500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utton 31">
              <controlPr defaultSize="0" print="0" autoFill="0" autoPict="0" macro="[0]!Rest">
                <anchor moveWithCells="1" sizeWithCells="1">
                  <from>
                    <xdr:col>10</xdr:col>
                    <xdr:colOff>38100</xdr:colOff>
                    <xdr:row>9</xdr:row>
                    <xdr:rowOff>0</xdr:rowOff>
                  </from>
                  <to>
                    <xdr:col>12</xdr:col>
                    <xdr:colOff>63500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Unhideassess">
                <anchor moveWithCells="1" sizeWithCells="1">
                  <from>
                    <xdr:col>8</xdr:col>
                    <xdr:colOff>25400</xdr:colOff>
                    <xdr:row>3</xdr:row>
                    <xdr:rowOff>0</xdr:rowOff>
                  </from>
                  <to>
                    <xdr:col>10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Button 36">
              <controlPr defaultSize="0" print="0" autoFill="0" autoPict="0" macro="[0]!Show">
                <anchor moveWithCells="1" sizeWithCells="1">
                  <from>
                    <xdr:col>11</xdr:col>
                    <xdr:colOff>38100</xdr:colOff>
                    <xdr:row>9</xdr:row>
                    <xdr:rowOff>0</xdr:rowOff>
                  </from>
                  <to>
                    <xdr:col>13</xdr:col>
                    <xdr:colOff>63500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Show">
                <anchor moveWithCells="1" sizeWithCells="1">
                  <from>
                    <xdr:col>10</xdr:col>
                    <xdr:colOff>190500</xdr:colOff>
                    <xdr:row>9</xdr:row>
                    <xdr:rowOff>0</xdr:rowOff>
                  </from>
                  <to>
                    <xdr:col>13</xdr:col>
                    <xdr:colOff>76200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Show">
                <anchor moveWithCells="1" sizeWithCells="1">
                  <from>
                    <xdr:col>11</xdr:col>
                    <xdr:colOff>63500</xdr:colOff>
                    <xdr:row>9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0" name="Button 39">
              <controlPr defaultSize="0" print="0" autoFill="0" autoPict="0" macro="[0]!Show">
                <anchor moveWithCells="1" sizeWithCells="1">
                  <from>
                    <xdr:col>11</xdr:col>
                    <xdr:colOff>76200</xdr:colOff>
                    <xdr:row>9</xdr:row>
                    <xdr:rowOff>0</xdr:rowOff>
                  </from>
                  <to>
                    <xdr:col>14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1" name="Button 40">
              <controlPr defaultSize="0" print="0" autoFill="0" autoPict="0" macro="[0]!Assessfinished">
                <anchor moveWithCells="1" sizeWithCells="1">
                  <from>
                    <xdr:col>10</xdr:col>
                    <xdr:colOff>88900</xdr:colOff>
                    <xdr:row>9</xdr:row>
                    <xdr:rowOff>0</xdr:rowOff>
                  </from>
                  <to>
                    <xdr:col>13</xdr:col>
                    <xdr:colOff>38100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2" name="Button 41">
              <controlPr defaultSize="0" print="0" autoFill="0" autoPict="0" macro="[0]!Assessfinished">
                <anchor moveWithCells="1" sizeWithCells="1">
                  <from>
                    <xdr:col>10</xdr:col>
                    <xdr:colOff>152400</xdr:colOff>
                    <xdr:row>9</xdr:row>
                    <xdr:rowOff>0</xdr:rowOff>
                  </from>
                  <to>
                    <xdr:col>13</xdr:col>
                    <xdr:colOff>101600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3" name="Button1">
              <controlPr defaultSize="0" print="0" autoFill="0" autoPict="0" macro="[0]!AssessYes">
                <anchor moveWithCells="1" sizeWithCells="1">
                  <from>
                    <xdr:col>8</xdr:col>
                    <xdr:colOff>25400</xdr:colOff>
                    <xdr:row>7</xdr:row>
                    <xdr:rowOff>0</xdr:rowOff>
                  </from>
                  <to>
                    <xdr:col>10</xdr:col>
                    <xdr:colOff>38100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4" name="Button2">
              <controlPr defaultSize="0" print="0" autoFill="0" autoPict="0" macro="[0]!AssessNo">
                <anchor moveWithCells="1" sizeWithCells="1">
                  <from>
                    <xdr:col>11</xdr:col>
                    <xdr:colOff>38100</xdr:colOff>
                    <xdr:row>7</xdr:row>
                    <xdr:rowOff>0</xdr:rowOff>
                  </from>
                  <to>
                    <xdr:col>13</xdr:col>
                    <xdr:colOff>25400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5" name="Button 46">
              <controlPr defaultSize="0" print="0" autoFill="0" autoPict="0" macro="[0]!Assessfinished">
                <anchor moveWithCells="1" sizeWithCells="1">
                  <from>
                    <xdr:col>10</xdr:col>
                    <xdr:colOff>127000</xdr:colOff>
                    <xdr:row>9</xdr:row>
                    <xdr:rowOff>0</xdr:rowOff>
                  </from>
                  <to>
                    <xdr:col>14</xdr:col>
                    <xdr:colOff>215900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6" name="Button4">
              <controlPr defaultSize="0" print="0" autoFill="0" autoPict="0" macro="[0]!Formfinished">
                <anchor moveWithCells="1" sizeWithCells="1">
                  <from>
                    <xdr:col>27</xdr:col>
                    <xdr:colOff>152400</xdr:colOff>
                    <xdr:row>107</xdr:row>
                    <xdr:rowOff>63500</xdr:rowOff>
                  </from>
                  <to>
                    <xdr:col>31</xdr:col>
                    <xdr:colOff>177800</xdr:colOff>
                    <xdr:row>110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7" name="Button3">
              <controlPr defaultSize="0" print="0" autoFill="0" autoPict="0" macro="[0]!Payrolledit">
                <anchor moveWithCells="1" sizeWithCells="1">
                  <from>
                    <xdr:col>27</xdr:col>
                    <xdr:colOff>152400</xdr:colOff>
                    <xdr:row>104</xdr:row>
                    <xdr:rowOff>76200</xdr:rowOff>
                  </from>
                  <to>
                    <xdr:col>31</xdr:col>
                    <xdr:colOff>177800</xdr:colOff>
                    <xdr:row>106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8" name="Knap1">
              <controlPr defaultSize="0" print="0" autoFill="0" autoPict="0" macro="[0]!AssessYes">
                <anchor moveWithCells="1" sizeWithCells="1">
                  <from>
                    <xdr:col>8</xdr:col>
                    <xdr:colOff>25400</xdr:colOff>
                    <xdr:row>7</xdr:row>
                    <xdr:rowOff>0</xdr:rowOff>
                  </from>
                  <to>
                    <xdr:col>10</xdr:col>
                    <xdr:colOff>38100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9" name="Knap2">
              <controlPr defaultSize="0" print="0" autoFill="0" autoPict="0" macro="[0]!AssessNo">
                <anchor moveWithCells="1" sizeWithCells="1">
                  <from>
                    <xdr:col>11</xdr:col>
                    <xdr:colOff>38100</xdr:colOff>
                    <xdr:row>7</xdr:row>
                    <xdr:rowOff>0</xdr:rowOff>
                  </from>
                  <to>
                    <xdr:col>13</xdr:col>
                    <xdr:colOff>63500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textLength" operator="equal" allowBlank="1" showInputMessage="1" showErrorMessage="1" xr:uid="{00000000-0002-0000-0000-00001C000000}">
          <x14:formula1>
            <xm:f>VLOOKUP(N21,Data!H:Q,5,FALSE)</xm:f>
          </x14:formula1>
          <xm:sqref>P31:Q31</xm:sqref>
        </x14:dataValidation>
        <x14:dataValidation type="textLength" operator="equal" allowBlank="1" showInputMessage="1" showErrorMessage="1" error="Invalid character length" xr:uid="{00000000-0002-0000-0000-00001D000000}">
          <x14:formula1>
            <xm:f>IF(AND(E21&lt;&gt;"*",E23="*"),VLOOKUP(E21,Data!A:E,5,FALSE),VLOOKUP(E23,Data!A:E,5,FALSE))</xm:f>
          </x14:formula1>
          <xm:sqref>G31:O31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3"/>
  <dimension ref="A1:V205"/>
  <sheetViews>
    <sheetView topLeftCell="F1" workbookViewId="0">
      <pane ySplit="1" topLeftCell="A2" activePane="bottomLeft" state="frozen"/>
      <selection pane="bottomLeft" activeCell="U2" sqref="U2:U11"/>
    </sheetView>
  </sheetViews>
  <sheetFormatPr baseColWidth="10" defaultColWidth="8.83203125" defaultRowHeight="15"/>
  <cols>
    <col min="1" max="1" width="15.5" customWidth="1"/>
    <col min="2" max="2" width="43.1640625" customWidth="1"/>
    <col min="3" max="4" width="19" customWidth="1"/>
    <col min="5" max="7" width="13.83203125" customWidth="1"/>
    <col min="8" max="8" width="32.83203125" bestFit="1" customWidth="1"/>
    <col min="12" max="12" width="10.83203125" bestFit="1" customWidth="1"/>
    <col min="16" max="16" width="12.83203125" customWidth="1"/>
    <col min="18" max="18" width="8.83203125" customWidth="1"/>
    <col min="19" max="19" width="22.83203125" customWidth="1"/>
  </cols>
  <sheetData>
    <row r="1" spans="1:22">
      <c r="A1" t="s">
        <v>192</v>
      </c>
      <c r="B1" t="s">
        <v>191</v>
      </c>
      <c r="C1" t="s">
        <v>193</v>
      </c>
      <c r="D1" t="s">
        <v>248</v>
      </c>
      <c r="E1" t="s">
        <v>205</v>
      </c>
      <c r="F1" t="s">
        <v>302</v>
      </c>
      <c r="G1" t="s">
        <v>445</v>
      </c>
      <c r="H1" t="s">
        <v>647</v>
      </c>
      <c r="I1" s="17" t="s">
        <v>210</v>
      </c>
      <c r="J1" s="15" t="s">
        <v>211</v>
      </c>
      <c r="K1" s="14" t="s">
        <v>212</v>
      </c>
      <c r="L1" s="13" t="s">
        <v>286</v>
      </c>
      <c r="M1" s="11" t="s">
        <v>244</v>
      </c>
      <c r="N1" s="9" t="s">
        <v>246</v>
      </c>
      <c r="O1" s="23" t="s">
        <v>305</v>
      </c>
      <c r="P1" s="8" t="s">
        <v>254</v>
      </c>
      <c r="R1" s="19" t="s">
        <v>267</v>
      </c>
      <c r="S1" s="19" t="s">
        <v>266</v>
      </c>
      <c r="T1" s="19" t="s">
        <v>268</v>
      </c>
    </row>
    <row r="2" spans="1:22" ht="16">
      <c r="A2" t="s">
        <v>343</v>
      </c>
      <c r="B2" t="s">
        <v>343</v>
      </c>
      <c r="C2" t="s">
        <v>343</v>
      </c>
      <c r="G2">
        <v>0</v>
      </c>
      <c r="I2" s="17" t="s">
        <v>343</v>
      </c>
      <c r="J2" s="15" t="s">
        <v>343</v>
      </c>
      <c r="K2" s="14" t="s">
        <v>343</v>
      </c>
      <c r="L2" s="13" t="s">
        <v>343</v>
      </c>
      <c r="M2" s="11" t="s">
        <v>343</v>
      </c>
      <c r="N2" s="9" t="s">
        <v>343</v>
      </c>
      <c r="O2" s="23">
        <v>1.9</v>
      </c>
      <c r="P2" s="8" t="s">
        <v>343</v>
      </c>
      <c r="R2" s="20" t="s">
        <v>196</v>
      </c>
      <c r="S2" s="20" t="s">
        <v>271</v>
      </c>
      <c r="T2" s="120">
        <v>476.88</v>
      </c>
      <c r="U2" s="118"/>
      <c r="V2" s="119"/>
    </row>
    <row r="3" spans="1:22" ht="16">
      <c r="A3" t="s">
        <v>446</v>
      </c>
      <c r="B3" t="s">
        <v>9</v>
      </c>
      <c r="C3" t="s">
        <v>195</v>
      </c>
      <c r="D3">
        <v>2</v>
      </c>
      <c r="E3">
        <v>24</v>
      </c>
      <c r="F3">
        <v>487</v>
      </c>
      <c r="G3">
        <v>0</v>
      </c>
      <c r="I3" s="18" t="s">
        <v>213</v>
      </c>
      <c r="J3" s="16" t="s">
        <v>213</v>
      </c>
      <c r="K3" s="53" t="s">
        <v>344</v>
      </c>
      <c r="L3" s="54" t="s">
        <v>671</v>
      </c>
      <c r="M3" s="12" t="s">
        <v>245</v>
      </c>
      <c r="N3" s="10" t="s">
        <v>245</v>
      </c>
      <c r="P3" s="8" t="s">
        <v>196</v>
      </c>
      <c r="R3" s="20" t="s">
        <v>197</v>
      </c>
      <c r="S3" s="20" t="s">
        <v>269</v>
      </c>
      <c r="T3" s="120">
        <v>513.53</v>
      </c>
      <c r="U3" s="118"/>
      <c r="V3" s="119"/>
    </row>
    <row r="4" spans="1:22" ht="16">
      <c r="A4" t="s">
        <v>447</v>
      </c>
      <c r="B4" t="s">
        <v>180</v>
      </c>
      <c r="C4" t="s">
        <v>194</v>
      </c>
      <c r="D4">
        <v>2</v>
      </c>
      <c r="E4">
        <v>23</v>
      </c>
      <c r="F4">
        <v>487</v>
      </c>
      <c r="G4">
        <v>0</v>
      </c>
      <c r="I4" s="18" t="s">
        <v>214</v>
      </c>
      <c r="J4" s="16" t="s">
        <v>214</v>
      </c>
      <c r="K4" s="53" t="s">
        <v>345</v>
      </c>
      <c r="L4" s="54" t="s">
        <v>672</v>
      </c>
      <c r="M4" s="12" t="s">
        <v>213</v>
      </c>
      <c r="N4" s="55" t="s">
        <v>227</v>
      </c>
      <c r="O4" s="24" t="s">
        <v>306</v>
      </c>
      <c r="P4" s="8" t="s">
        <v>197</v>
      </c>
      <c r="R4" s="20" t="s">
        <v>203</v>
      </c>
      <c r="S4" s="20" t="s">
        <v>264</v>
      </c>
      <c r="T4" s="120">
        <v>717.6</v>
      </c>
      <c r="U4" s="118"/>
      <c r="V4" s="119"/>
    </row>
    <row r="5" spans="1:22" ht="16">
      <c r="A5" t="s">
        <v>448</v>
      </c>
      <c r="B5" t="s">
        <v>6</v>
      </c>
      <c r="C5" t="s">
        <v>194</v>
      </c>
      <c r="D5">
        <v>3</v>
      </c>
      <c r="F5">
        <v>487</v>
      </c>
      <c r="G5">
        <v>0</v>
      </c>
      <c r="I5" s="18" t="s">
        <v>215</v>
      </c>
      <c r="J5" s="16" t="s">
        <v>215</v>
      </c>
      <c r="K5" s="53" t="s">
        <v>346</v>
      </c>
      <c r="L5" s="54" t="s">
        <v>673</v>
      </c>
      <c r="M5" s="12" t="s">
        <v>214</v>
      </c>
      <c r="N5" s="55" t="s">
        <v>242</v>
      </c>
      <c r="O5" s="24">
        <v>223</v>
      </c>
      <c r="P5" s="8" t="s">
        <v>203</v>
      </c>
      <c r="R5" s="20" t="s">
        <v>198</v>
      </c>
      <c r="S5" s="20" t="s">
        <v>272</v>
      </c>
      <c r="T5" s="21">
        <v>100</v>
      </c>
      <c r="U5" s="118"/>
      <c r="V5" s="119"/>
    </row>
    <row r="6" spans="1:22" ht="16">
      <c r="A6" t="s">
        <v>449</v>
      </c>
      <c r="B6" t="s">
        <v>11</v>
      </c>
      <c r="C6" t="s">
        <v>194</v>
      </c>
      <c r="D6">
        <v>3</v>
      </c>
      <c r="F6">
        <v>487</v>
      </c>
      <c r="G6">
        <v>0</v>
      </c>
      <c r="I6" s="18" t="s">
        <v>216</v>
      </c>
      <c r="J6" s="16" t="s">
        <v>216</v>
      </c>
      <c r="K6" s="53" t="s">
        <v>347</v>
      </c>
      <c r="L6" s="54" t="s">
        <v>674</v>
      </c>
      <c r="M6" s="12" t="s">
        <v>215</v>
      </c>
      <c r="N6" s="55" t="s">
        <v>348</v>
      </c>
      <c r="P6" s="8" t="s">
        <v>198</v>
      </c>
      <c r="R6" s="20" t="s">
        <v>195</v>
      </c>
      <c r="S6" s="20" t="s">
        <v>259</v>
      </c>
      <c r="T6" s="120">
        <v>743.65</v>
      </c>
      <c r="U6" s="118"/>
      <c r="V6" s="119"/>
    </row>
    <row r="7" spans="1:22" ht="16">
      <c r="A7" t="s">
        <v>450</v>
      </c>
      <c r="B7" t="s">
        <v>7</v>
      </c>
      <c r="C7" t="s">
        <v>195</v>
      </c>
      <c r="D7">
        <v>2</v>
      </c>
      <c r="E7">
        <v>28</v>
      </c>
      <c r="F7">
        <v>487</v>
      </c>
      <c r="G7">
        <v>0</v>
      </c>
      <c r="I7" s="18" t="s">
        <v>217</v>
      </c>
      <c r="J7" s="16" t="s">
        <v>217</v>
      </c>
      <c r="K7" s="53" t="s">
        <v>349</v>
      </c>
      <c r="L7" s="54" t="s">
        <v>675</v>
      </c>
      <c r="M7" s="12" t="s">
        <v>216</v>
      </c>
      <c r="O7" s="27"/>
      <c r="P7" s="8" t="s">
        <v>195</v>
      </c>
      <c r="R7" s="20" t="s">
        <v>204</v>
      </c>
      <c r="S7" s="20" t="s">
        <v>261</v>
      </c>
      <c r="T7" s="120">
        <v>886.04</v>
      </c>
      <c r="U7" s="118"/>
      <c r="V7" s="119"/>
    </row>
    <row r="8" spans="1:22" ht="16">
      <c r="A8" t="s">
        <v>451</v>
      </c>
      <c r="B8" t="s">
        <v>13</v>
      </c>
      <c r="C8" t="s">
        <v>195</v>
      </c>
      <c r="D8">
        <v>3</v>
      </c>
      <c r="F8">
        <v>487</v>
      </c>
      <c r="G8">
        <v>0</v>
      </c>
      <c r="I8" s="18" t="s">
        <v>218</v>
      </c>
      <c r="J8" s="16" t="s">
        <v>218</v>
      </c>
      <c r="K8" s="53" t="s">
        <v>350</v>
      </c>
      <c r="L8" s="54" t="s">
        <v>676</v>
      </c>
      <c r="M8" s="12" t="s">
        <v>217</v>
      </c>
      <c r="O8" s="27"/>
      <c r="P8" s="8" t="s">
        <v>204</v>
      </c>
      <c r="R8" s="20" t="s">
        <v>199</v>
      </c>
      <c r="S8" s="20" t="s">
        <v>265</v>
      </c>
      <c r="T8" s="120">
        <v>5.7011000000000003</v>
      </c>
      <c r="U8" s="118"/>
      <c r="V8" s="119"/>
    </row>
    <row r="9" spans="1:22" ht="16">
      <c r="A9" t="s">
        <v>452</v>
      </c>
      <c r="B9" t="s">
        <v>10</v>
      </c>
      <c r="C9" t="s">
        <v>194</v>
      </c>
      <c r="D9">
        <v>2</v>
      </c>
      <c r="E9">
        <v>25</v>
      </c>
      <c r="F9">
        <v>487</v>
      </c>
      <c r="G9">
        <v>0</v>
      </c>
      <c r="I9" s="18" t="s">
        <v>219</v>
      </c>
      <c r="J9" s="16" t="s">
        <v>219</v>
      </c>
      <c r="K9" s="53" t="s">
        <v>351</v>
      </c>
      <c r="L9" s="54"/>
      <c r="M9" s="12" t="s">
        <v>218</v>
      </c>
      <c r="P9" s="8" t="s">
        <v>199</v>
      </c>
      <c r="R9" s="20" t="s">
        <v>201</v>
      </c>
      <c r="S9" s="20" t="s">
        <v>263</v>
      </c>
      <c r="T9" s="120">
        <v>74.59</v>
      </c>
      <c r="U9" s="118"/>
      <c r="V9" s="119"/>
    </row>
    <row r="10" spans="1:22" ht="16">
      <c r="A10" t="s">
        <v>453</v>
      </c>
      <c r="B10" t="s">
        <v>12</v>
      </c>
      <c r="C10" t="s">
        <v>194</v>
      </c>
      <c r="D10">
        <v>3</v>
      </c>
      <c r="F10">
        <v>487</v>
      </c>
      <c r="G10">
        <v>0</v>
      </c>
      <c r="I10" s="18" t="s">
        <v>220</v>
      </c>
      <c r="J10" s="16" t="s">
        <v>220</v>
      </c>
      <c r="K10" s="53" t="s">
        <v>352</v>
      </c>
      <c r="M10" s="12" t="s">
        <v>219</v>
      </c>
      <c r="P10" s="8" t="s">
        <v>201</v>
      </c>
      <c r="R10" s="20" t="s">
        <v>200</v>
      </c>
      <c r="S10" s="20" t="s">
        <v>270</v>
      </c>
      <c r="T10" s="120">
        <v>449.47</v>
      </c>
      <c r="U10" s="118"/>
      <c r="V10" s="119"/>
    </row>
    <row r="11" spans="1:22" ht="16">
      <c r="A11" t="s">
        <v>454</v>
      </c>
      <c r="B11" t="s">
        <v>15</v>
      </c>
      <c r="C11" t="s">
        <v>195</v>
      </c>
      <c r="D11">
        <v>2</v>
      </c>
      <c r="E11">
        <v>20</v>
      </c>
      <c r="F11">
        <v>487</v>
      </c>
      <c r="G11">
        <v>0</v>
      </c>
      <c r="I11" s="18" t="s">
        <v>221</v>
      </c>
      <c r="J11" s="16" t="s">
        <v>221</v>
      </c>
      <c r="K11" s="53" t="s">
        <v>353</v>
      </c>
      <c r="M11" s="12" t="s">
        <v>220</v>
      </c>
      <c r="P11" s="8" t="s">
        <v>200</v>
      </c>
      <c r="R11" s="20" t="s">
        <v>202</v>
      </c>
      <c r="S11" s="20" t="s">
        <v>262</v>
      </c>
      <c r="T11" s="120">
        <v>72.599999999999994</v>
      </c>
      <c r="U11" s="118"/>
      <c r="V11" s="119"/>
    </row>
    <row r="12" spans="1:22" ht="16">
      <c r="A12" t="s">
        <v>455</v>
      </c>
      <c r="B12" t="s">
        <v>14</v>
      </c>
      <c r="C12" t="s">
        <v>196</v>
      </c>
      <c r="D12">
        <v>5</v>
      </c>
      <c r="F12">
        <v>487</v>
      </c>
      <c r="G12">
        <v>0</v>
      </c>
      <c r="I12" s="18" t="s">
        <v>222</v>
      </c>
      <c r="J12" s="16" t="s">
        <v>222</v>
      </c>
      <c r="K12" s="53" t="s">
        <v>354</v>
      </c>
      <c r="M12" s="12" t="s">
        <v>221</v>
      </c>
      <c r="P12" s="8" t="s">
        <v>202</v>
      </c>
      <c r="R12" s="20" t="s">
        <v>194</v>
      </c>
      <c r="S12" s="20" t="s">
        <v>260</v>
      </c>
      <c r="T12" s="120">
        <v>656.12</v>
      </c>
      <c r="U12" s="118"/>
      <c r="V12" s="119"/>
    </row>
    <row r="13" spans="1:22">
      <c r="A13" t="s">
        <v>456</v>
      </c>
      <c r="B13" t="s">
        <v>16</v>
      </c>
      <c r="C13" t="s">
        <v>195</v>
      </c>
      <c r="D13">
        <v>2</v>
      </c>
      <c r="E13">
        <v>28</v>
      </c>
      <c r="F13">
        <v>487</v>
      </c>
      <c r="G13">
        <v>0</v>
      </c>
      <c r="I13" s="18" t="s">
        <v>223</v>
      </c>
      <c r="J13" s="16" t="s">
        <v>223</v>
      </c>
      <c r="K13" s="53" t="s">
        <v>355</v>
      </c>
      <c r="M13" s="12" t="s">
        <v>222</v>
      </c>
      <c r="P13" s="8" t="s">
        <v>194</v>
      </c>
      <c r="U13" s="118"/>
    </row>
    <row r="14" spans="1:22">
      <c r="A14" t="s">
        <v>457</v>
      </c>
      <c r="B14" t="s">
        <v>26</v>
      </c>
      <c r="C14" t="s">
        <v>195</v>
      </c>
      <c r="D14">
        <v>2</v>
      </c>
      <c r="E14">
        <v>20</v>
      </c>
      <c r="F14">
        <v>487</v>
      </c>
      <c r="G14">
        <v>0</v>
      </c>
      <c r="I14" s="18" t="s">
        <v>224</v>
      </c>
      <c r="J14" s="16" t="s">
        <v>224</v>
      </c>
      <c r="K14" s="53" t="s">
        <v>356</v>
      </c>
      <c r="M14" s="12" t="s">
        <v>223</v>
      </c>
    </row>
    <row r="15" spans="1:22">
      <c r="A15" t="s">
        <v>458</v>
      </c>
      <c r="B15" t="s">
        <v>20</v>
      </c>
      <c r="C15" t="s">
        <v>194</v>
      </c>
      <c r="D15">
        <v>3</v>
      </c>
      <c r="F15">
        <v>487</v>
      </c>
      <c r="G15">
        <v>0</v>
      </c>
      <c r="I15" s="18" t="s">
        <v>225</v>
      </c>
      <c r="K15" s="53" t="s">
        <v>357</v>
      </c>
      <c r="M15" s="12" t="s">
        <v>224</v>
      </c>
    </row>
    <row r="16" spans="1:22">
      <c r="A16" t="s">
        <v>459</v>
      </c>
      <c r="B16" t="s">
        <v>19</v>
      </c>
      <c r="C16" t="s">
        <v>194</v>
      </c>
      <c r="D16">
        <v>3</v>
      </c>
      <c r="F16">
        <v>370</v>
      </c>
      <c r="G16">
        <v>0</v>
      </c>
      <c r="I16" s="18" t="s">
        <v>226</v>
      </c>
      <c r="K16" s="53" t="s">
        <v>358</v>
      </c>
      <c r="M16" s="12" t="s">
        <v>225</v>
      </c>
    </row>
    <row r="17" spans="1:17">
      <c r="A17" t="s">
        <v>460</v>
      </c>
      <c r="B17" t="s">
        <v>22</v>
      </c>
      <c r="C17" t="s">
        <v>195</v>
      </c>
      <c r="D17">
        <v>2</v>
      </c>
      <c r="E17">
        <v>16</v>
      </c>
      <c r="F17">
        <v>487</v>
      </c>
      <c r="G17">
        <v>0</v>
      </c>
      <c r="I17" s="18" t="s">
        <v>227</v>
      </c>
      <c r="K17" s="53" t="s">
        <v>359</v>
      </c>
      <c r="M17" s="12" t="s">
        <v>226</v>
      </c>
      <c r="P17" s="22" t="s">
        <v>307</v>
      </c>
      <c r="Q17" s="22" t="s">
        <v>308</v>
      </c>
    </row>
    <row r="18" spans="1:17">
      <c r="A18" t="s">
        <v>461</v>
      </c>
      <c r="B18" t="s">
        <v>31</v>
      </c>
      <c r="C18" t="s">
        <v>194</v>
      </c>
      <c r="D18">
        <v>2</v>
      </c>
      <c r="E18">
        <v>27</v>
      </c>
      <c r="F18">
        <v>487</v>
      </c>
      <c r="G18">
        <v>0</v>
      </c>
      <c r="I18" s="18" t="s">
        <v>228</v>
      </c>
      <c r="K18" s="53" t="s">
        <v>360</v>
      </c>
      <c r="M18" s="12" t="s">
        <v>227</v>
      </c>
      <c r="P18" s="22" t="s">
        <v>293</v>
      </c>
      <c r="Q18" s="22">
        <v>15</v>
      </c>
    </row>
    <row r="19" spans="1:17">
      <c r="A19" t="s">
        <v>462</v>
      </c>
      <c r="B19" t="s">
        <v>30</v>
      </c>
      <c r="C19" t="s">
        <v>195</v>
      </c>
      <c r="D19">
        <v>2</v>
      </c>
      <c r="E19">
        <v>22</v>
      </c>
      <c r="F19">
        <v>363</v>
      </c>
      <c r="G19">
        <v>0</v>
      </c>
      <c r="I19" s="18" t="s">
        <v>229</v>
      </c>
      <c r="K19" s="53" t="s">
        <v>361</v>
      </c>
      <c r="M19" s="12" t="s">
        <v>228</v>
      </c>
      <c r="P19" s="22" t="s">
        <v>294</v>
      </c>
      <c r="Q19" s="22">
        <v>30</v>
      </c>
    </row>
    <row r="20" spans="1:17">
      <c r="A20" t="s">
        <v>463</v>
      </c>
      <c r="B20" t="s">
        <v>18</v>
      </c>
      <c r="C20" t="s">
        <v>194</v>
      </c>
      <c r="D20">
        <v>2</v>
      </c>
      <c r="E20">
        <v>22</v>
      </c>
      <c r="F20">
        <v>487</v>
      </c>
      <c r="G20">
        <v>0</v>
      </c>
      <c r="I20" s="18" t="s">
        <v>230</v>
      </c>
      <c r="K20" s="53" t="s">
        <v>362</v>
      </c>
      <c r="M20" s="12" t="s">
        <v>229</v>
      </c>
      <c r="P20" s="22" t="s">
        <v>295</v>
      </c>
      <c r="Q20" s="22">
        <v>30</v>
      </c>
    </row>
    <row r="21" spans="1:17">
      <c r="A21" t="s">
        <v>464</v>
      </c>
      <c r="B21" t="s">
        <v>32</v>
      </c>
      <c r="C21" t="s">
        <v>194</v>
      </c>
      <c r="D21">
        <v>2</v>
      </c>
      <c r="E21">
        <v>16</v>
      </c>
      <c r="F21">
        <v>487</v>
      </c>
      <c r="G21">
        <v>0</v>
      </c>
      <c r="I21" s="18" t="s">
        <v>231</v>
      </c>
      <c r="K21" s="53" t="s">
        <v>363</v>
      </c>
      <c r="M21" s="12" t="s">
        <v>230</v>
      </c>
    </row>
    <row r="22" spans="1:17">
      <c r="A22" t="s">
        <v>465</v>
      </c>
      <c r="B22" t="s">
        <v>24</v>
      </c>
      <c r="C22" t="s">
        <v>194</v>
      </c>
      <c r="D22">
        <v>2</v>
      </c>
      <c r="E22">
        <v>28</v>
      </c>
      <c r="F22">
        <v>487</v>
      </c>
      <c r="G22">
        <v>0</v>
      </c>
      <c r="I22" s="18" t="s">
        <v>232</v>
      </c>
      <c r="K22" s="53" t="s">
        <v>364</v>
      </c>
      <c r="M22" s="12" t="s">
        <v>231</v>
      </c>
      <c r="P22" s="52" t="s">
        <v>339</v>
      </c>
    </row>
    <row r="23" spans="1:17">
      <c r="A23" t="s">
        <v>466</v>
      </c>
      <c r="B23" t="s">
        <v>29</v>
      </c>
      <c r="C23" t="s">
        <v>194</v>
      </c>
      <c r="D23">
        <v>3</v>
      </c>
      <c r="F23">
        <v>487</v>
      </c>
      <c r="G23">
        <v>0</v>
      </c>
      <c r="I23" s="18" t="s">
        <v>233</v>
      </c>
      <c r="K23" s="53" t="s">
        <v>365</v>
      </c>
      <c r="M23" s="12" t="s">
        <v>232</v>
      </c>
      <c r="P23" s="52" t="s">
        <v>340</v>
      </c>
    </row>
    <row r="24" spans="1:17">
      <c r="A24" t="s">
        <v>467</v>
      </c>
      <c r="B24" t="s">
        <v>648</v>
      </c>
      <c r="C24" t="s">
        <v>194</v>
      </c>
      <c r="D24">
        <v>3</v>
      </c>
      <c r="F24">
        <v>279</v>
      </c>
      <c r="G24">
        <v>0</v>
      </c>
      <c r="I24" s="18" t="s">
        <v>234</v>
      </c>
      <c r="K24" s="53" t="s">
        <v>366</v>
      </c>
      <c r="M24" s="12" t="s">
        <v>233</v>
      </c>
    </row>
    <row r="25" spans="1:17">
      <c r="A25" t="s">
        <v>468</v>
      </c>
      <c r="B25" t="s">
        <v>28</v>
      </c>
      <c r="C25" t="s">
        <v>194</v>
      </c>
      <c r="D25">
        <v>2</v>
      </c>
      <c r="E25">
        <v>29</v>
      </c>
      <c r="F25">
        <v>487</v>
      </c>
      <c r="G25">
        <v>0</v>
      </c>
      <c r="I25" s="18" t="s">
        <v>235</v>
      </c>
      <c r="K25" s="53" t="s">
        <v>367</v>
      </c>
      <c r="M25" s="12" t="s">
        <v>234</v>
      </c>
    </row>
    <row r="26" spans="1:17">
      <c r="A26" t="s">
        <v>469</v>
      </c>
      <c r="B26" t="s">
        <v>17</v>
      </c>
      <c r="C26" t="s">
        <v>194</v>
      </c>
      <c r="D26">
        <v>3</v>
      </c>
      <c r="F26">
        <v>487</v>
      </c>
      <c r="G26">
        <v>0</v>
      </c>
      <c r="I26" s="18" t="s">
        <v>236</v>
      </c>
      <c r="K26" s="53" t="s">
        <v>368</v>
      </c>
      <c r="M26" s="12" t="s">
        <v>235</v>
      </c>
    </row>
    <row r="27" spans="1:17">
      <c r="A27" t="s">
        <v>470</v>
      </c>
      <c r="B27" t="s">
        <v>25</v>
      </c>
      <c r="C27" t="s">
        <v>194</v>
      </c>
      <c r="D27">
        <v>3</v>
      </c>
      <c r="F27">
        <v>203</v>
      </c>
      <c r="G27">
        <v>0</v>
      </c>
      <c r="I27" s="18" t="s">
        <v>237</v>
      </c>
      <c r="K27" s="53" t="s">
        <v>369</v>
      </c>
    </row>
    <row r="28" spans="1:17">
      <c r="A28" t="s">
        <v>471</v>
      </c>
      <c r="B28" t="s">
        <v>27</v>
      </c>
      <c r="C28" t="s">
        <v>194</v>
      </c>
      <c r="D28">
        <v>3</v>
      </c>
      <c r="F28">
        <v>487</v>
      </c>
      <c r="G28">
        <v>0</v>
      </c>
      <c r="I28" s="18" t="s">
        <v>238</v>
      </c>
      <c r="K28" s="53" t="s">
        <v>370</v>
      </c>
    </row>
    <row r="29" spans="1:17">
      <c r="A29" t="s">
        <v>472</v>
      </c>
      <c r="B29" t="s">
        <v>21</v>
      </c>
      <c r="C29" t="s">
        <v>195</v>
      </c>
      <c r="D29">
        <v>3</v>
      </c>
      <c r="F29">
        <v>487</v>
      </c>
      <c r="G29">
        <v>0</v>
      </c>
      <c r="I29" s="18" t="s">
        <v>239</v>
      </c>
      <c r="K29" s="53" t="s">
        <v>371</v>
      </c>
    </row>
    <row r="30" spans="1:17">
      <c r="A30" t="s">
        <v>473</v>
      </c>
      <c r="B30" t="s">
        <v>23</v>
      </c>
      <c r="C30" t="s">
        <v>194</v>
      </c>
      <c r="D30">
        <v>3</v>
      </c>
      <c r="F30">
        <v>487</v>
      </c>
      <c r="G30">
        <v>0</v>
      </c>
      <c r="I30" s="18" t="s">
        <v>240</v>
      </c>
      <c r="K30" s="53" t="s">
        <v>372</v>
      </c>
    </row>
    <row r="31" spans="1:17">
      <c r="A31" t="s">
        <v>474</v>
      </c>
      <c r="B31" t="s">
        <v>35</v>
      </c>
      <c r="C31" t="s">
        <v>197</v>
      </c>
      <c r="D31">
        <v>4</v>
      </c>
      <c r="F31">
        <v>487</v>
      </c>
      <c r="G31">
        <v>0</v>
      </c>
      <c r="I31" s="18" t="s">
        <v>241</v>
      </c>
      <c r="K31" s="53" t="s">
        <v>373</v>
      </c>
    </row>
    <row r="32" spans="1:17">
      <c r="A32" t="s">
        <v>475</v>
      </c>
      <c r="B32" t="s">
        <v>649</v>
      </c>
      <c r="C32" t="s">
        <v>194</v>
      </c>
      <c r="D32">
        <v>3</v>
      </c>
      <c r="F32">
        <v>487</v>
      </c>
      <c r="G32">
        <v>0</v>
      </c>
      <c r="I32" s="18" t="s">
        <v>242</v>
      </c>
      <c r="K32" s="53" t="s">
        <v>374</v>
      </c>
    </row>
    <row r="33" spans="1:11">
      <c r="A33" t="s">
        <v>476</v>
      </c>
      <c r="B33" t="s">
        <v>37</v>
      </c>
      <c r="C33" t="s">
        <v>194</v>
      </c>
      <c r="D33">
        <v>2</v>
      </c>
      <c r="E33">
        <v>27</v>
      </c>
      <c r="F33">
        <v>487</v>
      </c>
      <c r="G33">
        <v>0</v>
      </c>
      <c r="I33" s="18" t="s">
        <v>243</v>
      </c>
      <c r="K33" s="53" t="s">
        <v>375</v>
      </c>
    </row>
    <row r="34" spans="1:11">
      <c r="A34" t="s">
        <v>477</v>
      </c>
      <c r="B34" t="s">
        <v>43</v>
      </c>
      <c r="C34" t="s">
        <v>194</v>
      </c>
      <c r="D34">
        <v>2</v>
      </c>
      <c r="E34">
        <v>27</v>
      </c>
      <c r="F34">
        <v>487</v>
      </c>
      <c r="G34">
        <v>0</v>
      </c>
      <c r="K34" s="53" t="s">
        <v>376</v>
      </c>
    </row>
    <row r="35" spans="1:11">
      <c r="A35" t="s">
        <v>478</v>
      </c>
      <c r="B35" t="s">
        <v>167</v>
      </c>
      <c r="C35" t="s">
        <v>203</v>
      </c>
      <c r="D35">
        <v>2</v>
      </c>
      <c r="E35">
        <v>21</v>
      </c>
      <c r="F35">
        <v>487</v>
      </c>
      <c r="G35">
        <v>0</v>
      </c>
      <c r="K35" s="53" t="s">
        <v>377</v>
      </c>
    </row>
    <row r="36" spans="1:11">
      <c r="A36" t="s">
        <v>479</v>
      </c>
      <c r="B36" t="s">
        <v>45</v>
      </c>
      <c r="C36" t="s">
        <v>194</v>
      </c>
      <c r="D36">
        <v>2</v>
      </c>
      <c r="E36">
        <v>28</v>
      </c>
      <c r="F36">
        <v>487</v>
      </c>
      <c r="G36">
        <v>0</v>
      </c>
      <c r="K36" s="53" t="s">
        <v>378</v>
      </c>
    </row>
    <row r="37" spans="1:11">
      <c r="A37" t="s">
        <v>480</v>
      </c>
      <c r="B37" t="s">
        <v>39</v>
      </c>
      <c r="C37" t="s">
        <v>194</v>
      </c>
      <c r="D37">
        <v>3</v>
      </c>
      <c r="F37">
        <v>487</v>
      </c>
      <c r="G37">
        <v>0</v>
      </c>
      <c r="K37" s="53" t="s">
        <v>379</v>
      </c>
    </row>
    <row r="38" spans="1:11">
      <c r="A38" t="s">
        <v>481</v>
      </c>
      <c r="B38" t="s">
        <v>34</v>
      </c>
      <c r="C38" t="s">
        <v>194</v>
      </c>
      <c r="D38">
        <v>2</v>
      </c>
      <c r="E38">
        <v>27</v>
      </c>
      <c r="F38">
        <v>487</v>
      </c>
      <c r="G38">
        <v>0</v>
      </c>
      <c r="K38" s="53" t="s">
        <v>380</v>
      </c>
    </row>
    <row r="39" spans="1:11">
      <c r="A39" t="s">
        <v>482</v>
      </c>
      <c r="B39" t="s">
        <v>40</v>
      </c>
      <c r="C39" t="s">
        <v>194</v>
      </c>
      <c r="D39">
        <v>3</v>
      </c>
      <c r="F39">
        <v>487</v>
      </c>
      <c r="G39">
        <v>0</v>
      </c>
      <c r="K39" s="53" t="s">
        <v>381</v>
      </c>
    </row>
    <row r="40" spans="1:11">
      <c r="A40" t="s">
        <v>483</v>
      </c>
      <c r="B40" t="s">
        <v>41</v>
      </c>
      <c r="C40" t="s">
        <v>194</v>
      </c>
      <c r="D40">
        <v>3</v>
      </c>
      <c r="F40">
        <v>370</v>
      </c>
      <c r="G40">
        <v>0</v>
      </c>
      <c r="K40" s="53" t="s">
        <v>382</v>
      </c>
    </row>
    <row r="41" spans="1:11">
      <c r="A41" t="s">
        <v>484</v>
      </c>
      <c r="B41" t="s">
        <v>44</v>
      </c>
      <c r="C41" t="s">
        <v>194</v>
      </c>
      <c r="D41">
        <v>2</v>
      </c>
      <c r="E41">
        <v>22</v>
      </c>
      <c r="F41">
        <v>487</v>
      </c>
      <c r="G41">
        <v>0</v>
      </c>
      <c r="K41" s="53" t="s">
        <v>383</v>
      </c>
    </row>
    <row r="42" spans="1:11">
      <c r="A42" t="s">
        <v>485</v>
      </c>
      <c r="B42" t="s">
        <v>47</v>
      </c>
      <c r="C42" t="s">
        <v>194</v>
      </c>
      <c r="D42">
        <v>3</v>
      </c>
      <c r="F42">
        <v>390</v>
      </c>
      <c r="G42">
        <v>0</v>
      </c>
      <c r="K42" s="53" t="s">
        <v>384</v>
      </c>
    </row>
    <row r="43" spans="1:11">
      <c r="A43" t="s">
        <v>486</v>
      </c>
      <c r="B43" t="s">
        <v>36</v>
      </c>
      <c r="C43" t="s">
        <v>194</v>
      </c>
      <c r="D43">
        <v>3</v>
      </c>
      <c r="F43">
        <v>487</v>
      </c>
      <c r="G43">
        <v>0</v>
      </c>
      <c r="K43" s="53" t="s">
        <v>385</v>
      </c>
    </row>
    <row r="44" spans="1:11">
      <c r="A44" t="s">
        <v>487</v>
      </c>
      <c r="B44" t="s">
        <v>48</v>
      </c>
      <c r="C44" t="s">
        <v>195</v>
      </c>
      <c r="D44">
        <v>2</v>
      </c>
      <c r="E44">
        <v>28</v>
      </c>
      <c r="F44">
        <v>487</v>
      </c>
      <c r="G44">
        <v>0</v>
      </c>
      <c r="K44" s="53" t="s">
        <v>386</v>
      </c>
    </row>
    <row r="45" spans="1:11">
      <c r="A45" t="s">
        <v>488</v>
      </c>
      <c r="B45" t="s">
        <v>49</v>
      </c>
      <c r="C45" t="s">
        <v>195</v>
      </c>
      <c r="D45">
        <v>2</v>
      </c>
      <c r="E45">
        <v>24</v>
      </c>
      <c r="F45">
        <v>487</v>
      </c>
      <c r="G45">
        <v>0</v>
      </c>
      <c r="K45" s="53" t="s">
        <v>387</v>
      </c>
    </row>
    <row r="46" spans="1:11">
      <c r="A46" t="s">
        <v>489</v>
      </c>
      <c r="B46" t="s">
        <v>68</v>
      </c>
      <c r="C46" t="s">
        <v>195</v>
      </c>
      <c r="D46">
        <v>2</v>
      </c>
      <c r="E46">
        <v>22</v>
      </c>
      <c r="F46">
        <v>487</v>
      </c>
      <c r="G46">
        <v>0</v>
      </c>
      <c r="K46" s="53" t="s">
        <v>388</v>
      </c>
    </row>
    <row r="47" spans="1:11">
      <c r="A47" t="s">
        <v>490</v>
      </c>
      <c r="B47" t="s">
        <v>51</v>
      </c>
      <c r="C47" t="s">
        <v>194</v>
      </c>
      <c r="D47">
        <v>3</v>
      </c>
      <c r="F47">
        <v>487</v>
      </c>
      <c r="G47">
        <v>0</v>
      </c>
      <c r="K47" s="53" t="s">
        <v>389</v>
      </c>
    </row>
    <row r="48" spans="1:11">
      <c r="A48" t="s">
        <v>491</v>
      </c>
      <c r="B48" t="s">
        <v>50</v>
      </c>
      <c r="C48" t="s">
        <v>198</v>
      </c>
      <c r="D48">
        <v>1</v>
      </c>
      <c r="F48">
        <v>418</v>
      </c>
      <c r="G48">
        <f>(1/4)*Tabel2[[#This Row],[Rate]]</f>
        <v>104.5</v>
      </c>
      <c r="K48" s="53" t="s">
        <v>390</v>
      </c>
    </row>
    <row r="49" spans="1:11">
      <c r="A49" t="s">
        <v>492</v>
      </c>
      <c r="B49" t="s">
        <v>52</v>
      </c>
      <c r="C49" t="s">
        <v>194</v>
      </c>
      <c r="D49">
        <v>3</v>
      </c>
      <c r="F49">
        <v>487</v>
      </c>
      <c r="G49">
        <v>0</v>
      </c>
      <c r="K49" s="53" t="s">
        <v>391</v>
      </c>
    </row>
    <row r="50" spans="1:11">
      <c r="A50" t="s">
        <v>493</v>
      </c>
      <c r="B50" t="s">
        <v>53</v>
      </c>
      <c r="C50" t="s">
        <v>194</v>
      </c>
      <c r="D50">
        <v>2</v>
      </c>
      <c r="E50">
        <v>28</v>
      </c>
      <c r="F50">
        <v>487</v>
      </c>
      <c r="G50">
        <v>0</v>
      </c>
      <c r="K50" s="53" t="s">
        <v>392</v>
      </c>
    </row>
    <row r="51" spans="1:11">
      <c r="A51" t="s">
        <v>494</v>
      </c>
      <c r="B51" t="s">
        <v>8</v>
      </c>
      <c r="C51" t="s">
        <v>194</v>
      </c>
      <c r="D51">
        <v>2</v>
      </c>
      <c r="E51">
        <v>24</v>
      </c>
      <c r="F51">
        <v>487</v>
      </c>
      <c r="G51">
        <v>0</v>
      </c>
      <c r="K51" s="53" t="s">
        <v>393</v>
      </c>
    </row>
    <row r="52" spans="1:11">
      <c r="A52" t="s">
        <v>495</v>
      </c>
      <c r="B52" t="s">
        <v>54</v>
      </c>
      <c r="C52" t="s">
        <v>194</v>
      </c>
      <c r="D52">
        <v>3</v>
      </c>
      <c r="F52">
        <v>487</v>
      </c>
      <c r="G52">
        <v>0</v>
      </c>
      <c r="K52" s="53" t="s">
        <v>394</v>
      </c>
    </row>
    <row r="53" spans="1:11">
      <c r="A53" t="s">
        <v>496</v>
      </c>
      <c r="B53" t="s">
        <v>59</v>
      </c>
      <c r="C53" t="s">
        <v>195</v>
      </c>
      <c r="D53">
        <v>2</v>
      </c>
      <c r="E53">
        <v>20</v>
      </c>
      <c r="F53">
        <v>487</v>
      </c>
      <c r="G53">
        <v>0</v>
      </c>
      <c r="K53" s="53" t="s">
        <v>395</v>
      </c>
    </row>
    <row r="54" spans="1:11">
      <c r="A54" t="s">
        <v>497</v>
      </c>
      <c r="B54" t="s">
        <v>55</v>
      </c>
      <c r="C54" t="s">
        <v>194</v>
      </c>
      <c r="D54">
        <v>2</v>
      </c>
      <c r="E54">
        <v>27</v>
      </c>
      <c r="F54">
        <v>373</v>
      </c>
      <c r="G54">
        <v>0</v>
      </c>
      <c r="K54" s="53" t="s">
        <v>396</v>
      </c>
    </row>
    <row r="55" spans="1:11">
      <c r="A55" t="s">
        <v>498</v>
      </c>
      <c r="B55" t="s">
        <v>187</v>
      </c>
      <c r="C55" t="s">
        <v>194</v>
      </c>
      <c r="D55">
        <v>3</v>
      </c>
      <c r="F55">
        <v>487</v>
      </c>
      <c r="G55">
        <v>0</v>
      </c>
      <c r="K55" s="53" t="s">
        <v>397</v>
      </c>
    </row>
    <row r="56" spans="1:11">
      <c r="A56" t="s">
        <v>499</v>
      </c>
      <c r="B56" t="s">
        <v>58</v>
      </c>
      <c r="C56" t="s">
        <v>194</v>
      </c>
      <c r="D56">
        <v>3</v>
      </c>
      <c r="F56">
        <v>487</v>
      </c>
      <c r="G56">
        <v>0</v>
      </c>
      <c r="K56" s="53" t="s">
        <v>398</v>
      </c>
    </row>
    <row r="57" spans="1:11">
      <c r="A57" t="s">
        <v>500</v>
      </c>
      <c r="B57" t="s">
        <v>161</v>
      </c>
      <c r="C57" t="s">
        <v>195</v>
      </c>
      <c r="D57">
        <v>2</v>
      </c>
      <c r="E57">
        <v>24</v>
      </c>
      <c r="F57">
        <v>487</v>
      </c>
      <c r="G57">
        <v>0</v>
      </c>
      <c r="K57" s="53" t="s">
        <v>399</v>
      </c>
    </row>
    <row r="58" spans="1:11">
      <c r="A58" t="s">
        <v>501</v>
      </c>
      <c r="B58" t="s">
        <v>60</v>
      </c>
      <c r="C58" t="s">
        <v>194</v>
      </c>
      <c r="D58">
        <v>3</v>
      </c>
      <c r="F58">
        <v>487</v>
      </c>
      <c r="G58">
        <v>0</v>
      </c>
      <c r="K58" s="53" t="s">
        <v>400</v>
      </c>
    </row>
    <row r="59" spans="1:11">
      <c r="A59" t="s">
        <v>502</v>
      </c>
      <c r="B59" t="s">
        <v>63</v>
      </c>
      <c r="C59" t="s">
        <v>195</v>
      </c>
      <c r="D59">
        <v>2</v>
      </c>
      <c r="E59">
        <v>18</v>
      </c>
      <c r="F59">
        <v>487</v>
      </c>
      <c r="G59">
        <v>0</v>
      </c>
      <c r="K59" s="53" t="s">
        <v>401</v>
      </c>
    </row>
    <row r="60" spans="1:11">
      <c r="A60" t="s">
        <v>503</v>
      </c>
      <c r="B60" t="s">
        <v>62</v>
      </c>
      <c r="C60" t="s">
        <v>194</v>
      </c>
      <c r="D60">
        <v>3</v>
      </c>
      <c r="F60">
        <v>487</v>
      </c>
      <c r="G60">
        <v>0</v>
      </c>
      <c r="K60" s="53" t="s">
        <v>402</v>
      </c>
    </row>
    <row r="61" spans="1:11">
      <c r="A61" t="s">
        <v>504</v>
      </c>
      <c r="B61" t="s">
        <v>650</v>
      </c>
      <c r="C61" t="s">
        <v>194</v>
      </c>
      <c r="D61">
        <v>3</v>
      </c>
      <c r="F61">
        <v>487</v>
      </c>
      <c r="G61">
        <v>0</v>
      </c>
      <c r="K61" s="53" t="s">
        <v>403</v>
      </c>
    </row>
    <row r="62" spans="1:11">
      <c r="A62" t="s">
        <v>505</v>
      </c>
      <c r="B62" t="s">
        <v>61</v>
      </c>
      <c r="C62" t="s">
        <v>198</v>
      </c>
      <c r="D62">
        <v>1</v>
      </c>
      <c r="F62">
        <v>418</v>
      </c>
      <c r="G62">
        <f>(1/6)*Tabel2[[#This Row],[Rate]]</f>
        <v>69.666666666666657</v>
      </c>
      <c r="K62" s="53" t="s">
        <v>404</v>
      </c>
    </row>
    <row r="63" spans="1:11">
      <c r="A63" t="s">
        <v>506</v>
      </c>
      <c r="B63" t="s">
        <v>64</v>
      </c>
      <c r="C63" t="s">
        <v>195</v>
      </c>
      <c r="D63">
        <v>2</v>
      </c>
      <c r="E63">
        <v>27</v>
      </c>
      <c r="F63">
        <v>487</v>
      </c>
      <c r="G63">
        <v>0</v>
      </c>
      <c r="K63" s="53" t="s">
        <v>405</v>
      </c>
    </row>
    <row r="64" spans="1:11">
      <c r="A64" t="s">
        <v>507</v>
      </c>
      <c r="B64" t="s">
        <v>65</v>
      </c>
      <c r="C64" t="s">
        <v>194</v>
      </c>
      <c r="D64">
        <v>2</v>
      </c>
      <c r="E64">
        <v>27</v>
      </c>
      <c r="F64">
        <v>487</v>
      </c>
      <c r="G64">
        <v>0</v>
      </c>
      <c r="K64" s="53" t="s">
        <v>406</v>
      </c>
    </row>
    <row r="65" spans="1:11">
      <c r="A65" t="s">
        <v>508</v>
      </c>
      <c r="B65" t="s">
        <v>181</v>
      </c>
      <c r="C65" t="s">
        <v>204</v>
      </c>
      <c r="D65">
        <v>2</v>
      </c>
      <c r="E65">
        <v>22</v>
      </c>
      <c r="F65">
        <v>487</v>
      </c>
      <c r="G65">
        <v>0</v>
      </c>
      <c r="K65" s="53" t="s">
        <v>407</v>
      </c>
    </row>
    <row r="66" spans="1:11">
      <c r="A66" t="s">
        <v>509</v>
      </c>
      <c r="B66" t="s">
        <v>72</v>
      </c>
      <c r="C66" t="s">
        <v>194</v>
      </c>
      <c r="D66">
        <v>3</v>
      </c>
      <c r="F66">
        <v>487</v>
      </c>
      <c r="G66">
        <v>0</v>
      </c>
      <c r="K66" s="53" t="s">
        <v>408</v>
      </c>
    </row>
    <row r="67" spans="1:11">
      <c r="A67" t="s">
        <v>510</v>
      </c>
      <c r="B67" t="s">
        <v>67</v>
      </c>
      <c r="C67" t="s">
        <v>195</v>
      </c>
      <c r="D67">
        <v>2</v>
      </c>
      <c r="E67">
        <v>22</v>
      </c>
      <c r="F67">
        <v>487</v>
      </c>
      <c r="G67">
        <v>0</v>
      </c>
      <c r="K67" s="53" t="s">
        <v>409</v>
      </c>
    </row>
    <row r="68" spans="1:11">
      <c r="A68" t="s">
        <v>511</v>
      </c>
      <c r="B68" t="s">
        <v>69</v>
      </c>
      <c r="C68" t="s">
        <v>194</v>
      </c>
      <c r="D68">
        <v>3</v>
      </c>
      <c r="F68">
        <v>487</v>
      </c>
      <c r="G68">
        <v>0</v>
      </c>
      <c r="K68" s="53" t="s">
        <v>410</v>
      </c>
    </row>
    <row r="69" spans="1:11">
      <c r="A69" t="s">
        <v>512</v>
      </c>
      <c r="B69" t="s">
        <v>71</v>
      </c>
      <c r="C69" t="s">
        <v>198</v>
      </c>
      <c r="D69">
        <v>1</v>
      </c>
      <c r="F69">
        <v>487</v>
      </c>
      <c r="G69">
        <v>0</v>
      </c>
      <c r="K69" s="53" t="s">
        <v>411</v>
      </c>
    </row>
    <row r="70" spans="1:11">
      <c r="A70" t="s">
        <v>513</v>
      </c>
      <c r="B70" t="s">
        <v>66</v>
      </c>
      <c r="C70" t="s">
        <v>194</v>
      </c>
      <c r="D70">
        <v>3</v>
      </c>
      <c r="F70">
        <v>487</v>
      </c>
      <c r="G70">
        <v>0</v>
      </c>
      <c r="K70" s="53" t="s">
        <v>412</v>
      </c>
    </row>
    <row r="71" spans="1:11">
      <c r="A71" t="s">
        <v>514</v>
      </c>
      <c r="B71" t="s">
        <v>74</v>
      </c>
      <c r="C71" t="s">
        <v>194</v>
      </c>
      <c r="D71">
        <v>3</v>
      </c>
      <c r="F71">
        <v>487</v>
      </c>
      <c r="G71">
        <v>0</v>
      </c>
      <c r="K71" s="53" t="s">
        <v>413</v>
      </c>
    </row>
    <row r="72" spans="1:11">
      <c r="A72" t="s">
        <v>515</v>
      </c>
      <c r="B72" t="s">
        <v>57</v>
      </c>
      <c r="C72" t="s">
        <v>194</v>
      </c>
      <c r="D72">
        <v>3</v>
      </c>
      <c r="F72">
        <v>487</v>
      </c>
      <c r="G72">
        <v>0</v>
      </c>
      <c r="K72" s="53" t="s">
        <v>414</v>
      </c>
    </row>
    <row r="73" spans="1:11">
      <c r="A73" t="s">
        <v>516</v>
      </c>
      <c r="B73" t="s">
        <v>70</v>
      </c>
      <c r="C73" t="s">
        <v>195</v>
      </c>
      <c r="D73">
        <v>2</v>
      </c>
      <c r="E73">
        <v>27</v>
      </c>
      <c r="F73">
        <v>487</v>
      </c>
      <c r="G73">
        <v>0</v>
      </c>
      <c r="K73" s="53" t="s">
        <v>415</v>
      </c>
    </row>
    <row r="74" spans="1:11">
      <c r="A74" t="s">
        <v>517</v>
      </c>
      <c r="B74" t="s">
        <v>73</v>
      </c>
      <c r="C74" t="s">
        <v>194</v>
      </c>
      <c r="D74">
        <v>2</v>
      </c>
      <c r="E74">
        <v>28</v>
      </c>
      <c r="F74">
        <v>487</v>
      </c>
      <c r="G74">
        <v>0</v>
      </c>
      <c r="K74" s="53" t="s">
        <v>416</v>
      </c>
    </row>
    <row r="75" spans="1:11">
      <c r="A75" t="s">
        <v>518</v>
      </c>
      <c r="B75" t="s">
        <v>75</v>
      </c>
      <c r="C75" t="s">
        <v>194</v>
      </c>
      <c r="D75">
        <v>3</v>
      </c>
      <c r="F75">
        <v>487</v>
      </c>
      <c r="G75">
        <v>0</v>
      </c>
      <c r="K75" s="53" t="s">
        <v>417</v>
      </c>
    </row>
    <row r="76" spans="1:11">
      <c r="A76" t="s">
        <v>519</v>
      </c>
      <c r="B76" t="s">
        <v>76</v>
      </c>
      <c r="C76" t="s">
        <v>194</v>
      </c>
      <c r="D76">
        <v>3</v>
      </c>
      <c r="F76">
        <v>487</v>
      </c>
      <c r="G76">
        <v>0</v>
      </c>
      <c r="K76" s="53" t="s">
        <v>418</v>
      </c>
    </row>
    <row r="77" spans="1:11">
      <c r="A77" t="s">
        <v>520</v>
      </c>
      <c r="B77" t="s">
        <v>79</v>
      </c>
      <c r="C77" t="s">
        <v>194</v>
      </c>
      <c r="D77">
        <v>3</v>
      </c>
      <c r="F77">
        <v>487</v>
      </c>
      <c r="G77">
        <v>0</v>
      </c>
      <c r="K77" s="53" t="s">
        <v>419</v>
      </c>
    </row>
    <row r="78" spans="1:11">
      <c r="A78" t="s">
        <v>521</v>
      </c>
      <c r="B78" t="s">
        <v>78</v>
      </c>
      <c r="C78" t="s">
        <v>194</v>
      </c>
      <c r="D78">
        <v>3</v>
      </c>
      <c r="F78">
        <v>487</v>
      </c>
      <c r="G78">
        <v>0</v>
      </c>
      <c r="K78" s="53" t="s">
        <v>420</v>
      </c>
    </row>
    <row r="79" spans="1:11">
      <c r="A79" t="s">
        <v>522</v>
      </c>
      <c r="B79" t="s">
        <v>46</v>
      </c>
      <c r="C79" t="s">
        <v>195</v>
      </c>
      <c r="D79">
        <v>2</v>
      </c>
      <c r="E79">
        <v>21</v>
      </c>
      <c r="F79">
        <v>487</v>
      </c>
      <c r="G79">
        <v>0</v>
      </c>
      <c r="K79" s="53" t="s">
        <v>421</v>
      </c>
    </row>
    <row r="80" spans="1:11">
      <c r="A80" t="s">
        <v>523</v>
      </c>
      <c r="B80" t="s">
        <v>77</v>
      </c>
      <c r="C80" t="s">
        <v>194</v>
      </c>
      <c r="D80">
        <v>3</v>
      </c>
      <c r="F80">
        <v>487</v>
      </c>
      <c r="G80">
        <v>0</v>
      </c>
      <c r="K80" s="53" t="s">
        <v>422</v>
      </c>
    </row>
    <row r="81" spans="1:11">
      <c r="A81" t="s">
        <v>524</v>
      </c>
      <c r="B81" t="s">
        <v>80</v>
      </c>
      <c r="C81" t="s">
        <v>195</v>
      </c>
      <c r="D81">
        <v>2</v>
      </c>
      <c r="E81">
        <v>28</v>
      </c>
      <c r="F81">
        <v>487</v>
      </c>
      <c r="G81">
        <v>0</v>
      </c>
      <c r="K81" s="53" t="s">
        <v>423</v>
      </c>
    </row>
    <row r="82" spans="1:11">
      <c r="A82" t="s">
        <v>525</v>
      </c>
      <c r="B82" t="s">
        <v>83</v>
      </c>
      <c r="C82" t="s">
        <v>194</v>
      </c>
      <c r="D82">
        <v>3</v>
      </c>
      <c r="F82">
        <v>487</v>
      </c>
      <c r="G82">
        <v>0</v>
      </c>
      <c r="K82" s="53" t="s">
        <v>424</v>
      </c>
    </row>
    <row r="83" spans="1:11">
      <c r="A83" t="s">
        <v>526</v>
      </c>
      <c r="B83" t="s">
        <v>85</v>
      </c>
      <c r="C83" t="s">
        <v>195</v>
      </c>
      <c r="D83">
        <v>2</v>
      </c>
      <c r="E83">
        <v>22</v>
      </c>
      <c r="F83">
        <v>487</v>
      </c>
      <c r="G83">
        <v>0</v>
      </c>
      <c r="K83" s="53" t="s">
        <v>425</v>
      </c>
    </row>
    <row r="84" spans="1:11">
      <c r="A84" t="s">
        <v>527</v>
      </c>
      <c r="B84" t="s">
        <v>86</v>
      </c>
      <c r="C84" t="s">
        <v>194</v>
      </c>
      <c r="D84">
        <v>2</v>
      </c>
      <c r="E84">
        <v>23</v>
      </c>
      <c r="F84">
        <v>487</v>
      </c>
      <c r="G84">
        <v>0</v>
      </c>
      <c r="K84" s="53" t="s">
        <v>426</v>
      </c>
    </row>
    <row r="85" spans="1:11">
      <c r="A85" t="s">
        <v>528</v>
      </c>
      <c r="B85" t="s">
        <v>82</v>
      </c>
      <c r="C85" t="s">
        <v>194</v>
      </c>
      <c r="D85">
        <v>3</v>
      </c>
      <c r="F85">
        <v>269</v>
      </c>
      <c r="G85">
        <v>0</v>
      </c>
      <c r="K85" s="53" t="s">
        <v>427</v>
      </c>
    </row>
    <row r="86" spans="1:11">
      <c r="A86" t="s">
        <v>529</v>
      </c>
      <c r="B86" t="s">
        <v>84</v>
      </c>
      <c r="C86" t="s">
        <v>194</v>
      </c>
      <c r="D86">
        <v>3</v>
      </c>
      <c r="F86">
        <v>487</v>
      </c>
      <c r="G86">
        <v>0</v>
      </c>
      <c r="K86" s="53" t="s">
        <v>428</v>
      </c>
    </row>
    <row r="87" spans="1:11">
      <c r="A87" t="s">
        <v>530</v>
      </c>
      <c r="B87" t="s">
        <v>662</v>
      </c>
      <c r="C87" t="s">
        <v>194</v>
      </c>
      <c r="D87">
        <v>2</v>
      </c>
      <c r="E87">
        <v>26</v>
      </c>
      <c r="F87">
        <v>279</v>
      </c>
      <c r="G87">
        <v>0</v>
      </c>
      <c r="K87" s="53" t="s">
        <v>429</v>
      </c>
    </row>
    <row r="88" spans="1:11">
      <c r="A88" t="s">
        <v>531</v>
      </c>
      <c r="B88" t="s">
        <v>81</v>
      </c>
      <c r="C88" t="s">
        <v>195</v>
      </c>
      <c r="D88">
        <v>2</v>
      </c>
      <c r="E88">
        <v>26</v>
      </c>
      <c r="F88">
        <v>487</v>
      </c>
      <c r="G88">
        <v>0</v>
      </c>
      <c r="K88" s="53" t="s">
        <v>430</v>
      </c>
    </row>
    <row r="89" spans="1:11">
      <c r="A89" t="s">
        <v>532</v>
      </c>
      <c r="B89" t="s">
        <v>87</v>
      </c>
      <c r="C89" t="s">
        <v>195</v>
      </c>
      <c r="D89">
        <v>2</v>
      </c>
      <c r="E89">
        <v>27</v>
      </c>
      <c r="F89">
        <v>487</v>
      </c>
      <c r="G89">
        <v>0</v>
      </c>
      <c r="K89" s="53" t="s">
        <v>431</v>
      </c>
    </row>
    <row r="90" spans="1:11">
      <c r="A90" t="s">
        <v>533</v>
      </c>
      <c r="B90" t="s">
        <v>88</v>
      </c>
      <c r="C90" t="s">
        <v>194</v>
      </c>
      <c r="D90">
        <v>3</v>
      </c>
      <c r="F90">
        <v>487</v>
      </c>
      <c r="G90">
        <v>0</v>
      </c>
      <c r="K90" s="53" t="s">
        <v>432</v>
      </c>
    </row>
    <row r="91" spans="1:11">
      <c r="A91" t="s">
        <v>534</v>
      </c>
      <c r="B91" t="s">
        <v>90</v>
      </c>
      <c r="C91" t="s">
        <v>194</v>
      </c>
      <c r="D91">
        <v>2</v>
      </c>
      <c r="E91">
        <v>30</v>
      </c>
      <c r="F91">
        <v>487</v>
      </c>
      <c r="G91">
        <v>0</v>
      </c>
      <c r="K91" s="53" t="s">
        <v>433</v>
      </c>
    </row>
    <row r="92" spans="1:11">
      <c r="A92" t="s">
        <v>535</v>
      </c>
      <c r="B92" t="s">
        <v>89</v>
      </c>
      <c r="C92" t="s">
        <v>199</v>
      </c>
      <c r="D92">
        <v>3</v>
      </c>
      <c r="F92">
        <v>487</v>
      </c>
      <c r="G92">
        <v>0</v>
      </c>
      <c r="K92" s="53" t="s">
        <v>434</v>
      </c>
    </row>
    <row r="93" spans="1:11">
      <c r="A93" t="s">
        <v>536</v>
      </c>
      <c r="B93" t="s">
        <v>92</v>
      </c>
      <c r="C93" t="s">
        <v>194</v>
      </c>
      <c r="D93">
        <v>3</v>
      </c>
      <c r="F93">
        <v>487</v>
      </c>
      <c r="G93">
        <v>0</v>
      </c>
      <c r="K93" s="53" t="s">
        <v>435</v>
      </c>
    </row>
    <row r="94" spans="1:11">
      <c r="A94" t="s">
        <v>537</v>
      </c>
      <c r="B94" t="s">
        <v>95</v>
      </c>
      <c r="C94" t="s">
        <v>194</v>
      </c>
      <c r="D94">
        <v>3</v>
      </c>
      <c r="F94">
        <v>487</v>
      </c>
      <c r="G94">
        <v>0</v>
      </c>
      <c r="K94" s="53" t="s">
        <v>436</v>
      </c>
    </row>
    <row r="95" spans="1:11">
      <c r="A95" t="s">
        <v>538</v>
      </c>
      <c r="B95" t="s">
        <v>33</v>
      </c>
      <c r="C95" t="s">
        <v>194</v>
      </c>
      <c r="D95">
        <v>3</v>
      </c>
      <c r="F95">
        <v>487</v>
      </c>
      <c r="G95">
        <v>0</v>
      </c>
      <c r="K95" s="53" t="s">
        <v>437</v>
      </c>
    </row>
    <row r="96" spans="1:11">
      <c r="A96" t="s">
        <v>539</v>
      </c>
      <c r="B96" t="s">
        <v>93</v>
      </c>
      <c r="C96" t="s">
        <v>194</v>
      </c>
      <c r="D96">
        <v>3</v>
      </c>
      <c r="F96">
        <v>487</v>
      </c>
      <c r="G96">
        <v>0</v>
      </c>
      <c r="K96" s="53" t="s">
        <v>438</v>
      </c>
    </row>
    <row r="97" spans="1:11">
      <c r="A97" t="s">
        <v>540</v>
      </c>
      <c r="B97" t="s">
        <v>42</v>
      </c>
      <c r="C97" t="s">
        <v>194</v>
      </c>
      <c r="D97">
        <v>3</v>
      </c>
      <c r="F97">
        <v>487</v>
      </c>
      <c r="G97">
        <v>0</v>
      </c>
      <c r="K97" s="53" t="s">
        <v>439</v>
      </c>
    </row>
    <row r="98" spans="1:11">
      <c r="A98" t="s">
        <v>541</v>
      </c>
      <c r="B98" t="s">
        <v>143</v>
      </c>
      <c r="C98" t="s">
        <v>194</v>
      </c>
      <c r="D98">
        <v>3</v>
      </c>
      <c r="F98">
        <v>487</v>
      </c>
      <c r="G98">
        <v>0</v>
      </c>
      <c r="K98" s="53" t="s">
        <v>440</v>
      </c>
    </row>
    <row r="99" spans="1:11">
      <c r="A99" t="s">
        <v>542</v>
      </c>
      <c r="B99" t="s">
        <v>652</v>
      </c>
      <c r="C99" t="s">
        <v>194</v>
      </c>
      <c r="D99">
        <v>3</v>
      </c>
      <c r="F99">
        <v>487</v>
      </c>
      <c r="G99">
        <v>0</v>
      </c>
      <c r="K99" s="53" t="s">
        <v>441</v>
      </c>
    </row>
    <row r="100" spans="1:11">
      <c r="A100" t="s">
        <v>543</v>
      </c>
      <c r="B100" t="s">
        <v>653</v>
      </c>
      <c r="C100" t="s">
        <v>194</v>
      </c>
      <c r="D100">
        <v>3</v>
      </c>
      <c r="F100">
        <v>487</v>
      </c>
      <c r="G100">
        <v>0</v>
      </c>
      <c r="K100" s="53" t="s">
        <v>442</v>
      </c>
    </row>
    <row r="101" spans="1:11">
      <c r="A101" t="s">
        <v>544</v>
      </c>
      <c r="B101" t="s">
        <v>94</v>
      </c>
      <c r="C101" t="s">
        <v>194</v>
      </c>
      <c r="D101">
        <v>2</v>
      </c>
      <c r="E101">
        <v>30</v>
      </c>
      <c r="F101">
        <v>487</v>
      </c>
      <c r="G101">
        <v>0</v>
      </c>
      <c r="K101" s="53" t="s">
        <v>443</v>
      </c>
    </row>
    <row r="102" spans="1:11">
      <c r="A102" t="s">
        <v>545</v>
      </c>
      <c r="B102" t="s">
        <v>91</v>
      </c>
      <c r="C102" t="s">
        <v>194</v>
      </c>
      <c r="D102">
        <v>2</v>
      </c>
      <c r="E102">
        <v>20</v>
      </c>
      <c r="F102">
        <v>487</v>
      </c>
      <c r="G102">
        <v>0</v>
      </c>
      <c r="K102" s="53" t="s">
        <v>444</v>
      </c>
    </row>
    <row r="103" spans="1:11">
      <c r="A103" t="s">
        <v>546</v>
      </c>
      <c r="B103" t="s">
        <v>651</v>
      </c>
      <c r="C103" t="s">
        <v>194</v>
      </c>
      <c r="D103">
        <v>3</v>
      </c>
      <c r="F103">
        <v>487</v>
      </c>
      <c r="G103">
        <v>0</v>
      </c>
    </row>
    <row r="104" spans="1:11">
      <c r="A104" t="s">
        <v>547</v>
      </c>
      <c r="B104" t="s">
        <v>97</v>
      </c>
      <c r="C104" t="s">
        <v>194</v>
      </c>
      <c r="D104">
        <v>2</v>
      </c>
      <c r="E104">
        <v>28</v>
      </c>
      <c r="F104">
        <v>487</v>
      </c>
      <c r="G104">
        <v>0</v>
      </c>
    </row>
    <row r="105" spans="1:11">
      <c r="A105" t="s">
        <v>548</v>
      </c>
      <c r="B105" t="s">
        <v>144</v>
      </c>
      <c r="C105" t="s">
        <v>194</v>
      </c>
      <c r="D105">
        <v>3</v>
      </c>
      <c r="F105">
        <v>487</v>
      </c>
      <c r="G105">
        <v>0</v>
      </c>
    </row>
    <row r="106" spans="1:11">
      <c r="A106" t="s">
        <v>549</v>
      </c>
      <c r="B106" t="s">
        <v>101</v>
      </c>
      <c r="C106" t="s">
        <v>195</v>
      </c>
      <c r="D106">
        <v>2</v>
      </c>
      <c r="E106">
        <v>21</v>
      </c>
      <c r="F106">
        <v>487</v>
      </c>
      <c r="G106">
        <v>0</v>
      </c>
    </row>
    <row r="107" spans="1:11">
      <c r="A107" t="s">
        <v>550</v>
      </c>
      <c r="B107" t="s">
        <v>162</v>
      </c>
      <c r="C107" t="s">
        <v>194</v>
      </c>
      <c r="D107">
        <v>3</v>
      </c>
      <c r="F107">
        <v>487</v>
      </c>
      <c r="G107">
        <v>0</v>
      </c>
    </row>
    <row r="108" spans="1:11">
      <c r="A108" t="s">
        <v>551</v>
      </c>
      <c r="B108" t="s">
        <v>99</v>
      </c>
      <c r="C108" t="s">
        <v>194</v>
      </c>
      <c r="D108">
        <v>3</v>
      </c>
      <c r="F108">
        <v>487</v>
      </c>
      <c r="G108">
        <v>0</v>
      </c>
    </row>
    <row r="109" spans="1:11">
      <c r="A109" t="s">
        <v>552</v>
      </c>
      <c r="B109" t="s">
        <v>98</v>
      </c>
      <c r="C109" t="s">
        <v>194</v>
      </c>
      <c r="D109">
        <v>3</v>
      </c>
      <c r="F109">
        <v>487</v>
      </c>
      <c r="G109">
        <v>0</v>
      </c>
    </row>
    <row r="110" spans="1:11">
      <c r="A110" t="s">
        <v>553</v>
      </c>
      <c r="B110" t="s">
        <v>102</v>
      </c>
      <c r="C110" t="s">
        <v>195</v>
      </c>
      <c r="D110">
        <v>2</v>
      </c>
      <c r="E110">
        <v>20</v>
      </c>
      <c r="F110">
        <v>487</v>
      </c>
      <c r="G110">
        <v>0</v>
      </c>
    </row>
    <row r="111" spans="1:11">
      <c r="A111" t="s">
        <v>554</v>
      </c>
      <c r="B111" t="s">
        <v>103</v>
      </c>
      <c r="C111" t="s">
        <v>195</v>
      </c>
      <c r="D111">
        <v>2</v>
      </c>
      <c r="E111">
        <v>20</v>
      </c>
      <c r="F111">
        <v>487</v>
      </c>
      <c r="G111">
        <v>0</v>
      </c>
    </row>
    <row r="112" spans="1:11">
      <c r="A112" t="s">
        <v>555</v>
      </c>
      <c r="B112" t="s">
        <v>96</v>
      </c>
      <c r="C112" t="s">
        <v>195</v>
      </c>
      <c r="D112">
        <v>2</v>
      </c>
      <c r="E112">
        <v>21</v>
      </c>
      <c r="F112">
        <v>487</v>
      </c>
      <c r="G112">
        <v>0</v>
      </c>
    </row>
    <row r="113" spans="1:7">
      <c r="A113" t="s">
        <v>556</v>
      </c>
      <c r="B113" t="s">
        <v>100</v>
      </c>
      <c r="C113" t="s">
        <v>194</v>
      </c>
      <c r="D113">
        <v>3</v>
      </c>
      <c r="F113">
        <v>487</v>
      </c>
      <c r="G113">
        <v>0</v>
      </c>
    </row>
    <row r="114" spans="1:7">
      <c r="A114" t="s">
        <v>557</v>
      </c>
      <c r="B114" t="s">
        <v>118</v>
      </c>
      <c r="C114" t="s">
        <v>194</v>
      </c>
      <c r="D114">
        <v>3</v>
      </c>
      <c r="F114">
        <v>487</v>
      </c>
      <c r="G114">
        <v>0</v>
      </c>
    </row>
    <row r="115" spans="1:7">
      <c r="A115" t="s">
        <v>558</v>
      </c>
      <c r="B115" t="s">
        <v>115</v>
      </c>
      <c r="C115" t="s">
        <v>195</v>
      </c>
      <c r="D115">
        <v>2</v>
      </c>
      <c r="E115">
        <v>27</v>
      </c>
      <c r="F115">
        <v>487</v>
      </c>
      <c r="G115">
        <v>0</v>
      </c>
    </row>
    <row r="116" spans="1:7">
      <c r="A116" t="s">
        <v>559</v>
      </c>
      <c r="B116" t="s">
        <v>206</v>
      </c>
      <c r="C116" t="s">
        <v>195</v>
      </c>
      <c r="D116">
        <v>2</v>
      </c>
      <c r="E116">
        <v>24</v>
      </c>
      <c r="F116">
        <v>487</v>
      </c>
      <c r="G116">
        <v>0</v>
      </c>
    </row>
    <row r="117" spans="1:7">
      <c r="A117" t="s">
        <v>560</v>
      </c>
      <c r="B117" t="s">
        <v>117</v>
      </c>
      <c r="C117" t="s">
        <v>195</v>
      </c>
      <c r="D117">
        <v>2</v>
      </c>
      <c r="E117">
        <v>22</v>
      </c>
      <c r="F117">
        <v>487</v>
      </c>
      <c r="G117">
        <v>0</v>
      </c>
    </row>
    <row r="118" spans="1:7">
      <c r="A118" t="s">
        <v>561</v>
      </c>
      <c r="B118" t="s">
        <v>105</v>
      </c>
      <c r="C118" t="s">
        <v>194</v>
      </c>
      <c r="D118">
        <v>2</v>
      </c>
      <c r="E118">
        <v>27</v>
      </c>
      <c r="F118">
        <v>487</v>
      </c>
      <c r="G118">
        <v>0</v>
      </c>
    </row>
    <row r="119" spans="1:7">
      <c r="A119" t="s">
        <v>562</v>
      </c>
      <c r="B119" t="s">
        <v>111</v>
      </c>
      <c r="C119" t="s">
        <v>194</v>
      </c>
      <c r="D119">
        <v>3</v>
      </c>
      <c r="F119">
        <v>487</v>
      </c>
      <c r="G119">
        <v>0</v>
      </c>
    </row>
    <row r="120" spans="1:7">
      <c r="A120" t="s">
        <v>563</v>
      </c>
      <c r="B120" t="s">
        <v>654</v>
      </c>
      <c r="C120" t="s">
        <v>195</v>
      </c>
      <c r="D120">
        <v>2</v>
      </c>
      <c r="E120">
        <v>19</v>
      </c>
      <c r="F120">
        <v>487</v>
      </c>
      <c r="G120">
        <v>0</v>
      </c>
    </row>
    <row r="121" spans="1:7">
      <c r="A121" t="s">
        <v>564</v>
      </c>
      <c r="B121" t="s">
        <v>109</v>
      </c>
      <c r="C121" t="s">
        <v>194</v>
      </c>
      <c r="D121">
        <v>2</v>
      </c>
      <c r="E121">
        <v>28</v>
      </c>
      <c r="F121">
        <v>487</v>
      </c>
      <c r="G121">
        <v>0</v>
      </c>
    </row>
    <row r="122" spans="1:7">
      <c r="A122" t="s">
        <v>565</v>
      </c>
      <c r="B122" t="s">
        <v>120</v>
      </c>
      <c r="C122" t="s">
        <v>194</v>
      </c>
      <c r="D122">
        <v>3</v>
      </c>
      <c r="F122">
        <v>487</v>
      </c>
      <c r="G122">
        <v>0</v>
      </c>
    </row>
    <row r="123" spans="1:7">
      <c r="A123" t="s">
        <v>566</v>
      </c>
      <c r="B123" t="s">
        <v>116</v>
      </c>
      <c r="C123" t="s">
        <v>194</v>
      </c>
      <c r="D123">
        <v>3</v>
      </c>
      <c r="F123">
        <v>487</v>
      </c>
      <c r="G123">
        <v>0</v>
      </c>
    </row>
    <row r="124" spans="1:7">
      <c r="A124" t="s">
        <v>567</v>
      </c>
      <c r="B124" t="s">
        <v>104</v>
      </c>
      <c r="C124" t="s">
        <v>194</v>
      </c>
      <c r="D124">
        <v>3</v>
      </c>
      <c r="F124">
        <v>487</v>
      </c>
      <c r="G124">
        <v>0</v>
      </c>
    </row>
    <row r="125" spans="1:7">
      <c r="A125" t="s">
        <v>568</v>
      </c>
      <c r="B125" t="s">
        <v>112</v>
      </c>
      <c r="C125" t="s">
        <v>194</v>
      </c>
      <c r="D125">
        <v>2</v>
      </c>
      <c r="E125">
        <v>27</v>
      </c>
      <c r="F125">
        <v>487</v>
      </c>
      <c r="G125">
        <v>0</v>
      </c>
    </row>
    <row r="126" spans="1:7">
      <c r="A126" t="s">
        <v>569</v>
      </c>
      <c r="B126" t="s">
        <v>110</v>
      </c>
      <c r="C126" t="s">
        <v>195</v>
      </c>
      <c r="D126">
        <v>2</v>
      </c>
      <c r="E126">
        <v>31</v>
      </c>
      <c r="F126">
        <v>487</v>
      </c>
      <c r="G126">
        <v>0</v>
      </c>
    </row>
    <row r="127" spans="1:7">
      <c r="A127" t="s">
        <v>570</v>
      </c>
      <c r="B127" t="s">
        <v>113</v>
      </c>
      <c r="C127" t="s">
        <v>194</v>
      </c>
      <c r="D127">
        <v>2</v>
      </c>
      <c r="E127">
        <v>30</v>
      </c>
      <c r="F127">
        <v>487</v>
      </c>
      <c r="G127">
        <v>0</v>
      </c>
    </row>
    <row r="128" spans="1:7">
      <c r="A128" t="s">
        <v>571</v>
      </c>
      <c r="B128" t="s">
        <v>108</v>
      </c>
      <c r="C128" t="s">
        <v>194</v>
      </c>
      <c r="D128">
        <v>3</v>
      </c>
      <c r="F128">
        <v>487</v>
      </c>
      <c r="G128">
        <v>0</v>
      </c>
    </row>
    <row r="129" spans="1:7">
      <c r="A129" t="s">
        <v>572</v>
      </c>
      <c r="B129" t="s">
        <v>106</v>
      </c>
      <c r="C129" t="s">
        <v>194</v>
      </c>
      <c r="D129">
        <v>3</v>
      </c>
      <c r="F129">
        <v>487</v>
      </c>
      <c r="G129">
        <v>0</v>
      </c>
    </row>
    <row r="130" spans="1:7">
      <c r="A130" t="s">
        <v>573</v>
      </c>
      <c r="B130" t="s">
        <v>114</v>
      </c>
      <c r="C130" t="s">
        <v>194</v>
      </c>
      <c r="D130">
        <v>3</v>
      </c>
      <c r="F130">
        <v>487</v>
      </c>
      <c r="G130">
        <v>0</v>
      </c>
    </row>
    <row r="131" spans="1:7">
      <c r="A131" t="s">
        <v>574</v>
      </c>
      <c r="B131" t="s">
        <v>107</v>
      </c>
      <c r="C131" t="s">
        <v>194</v>
      </c>
      <c r="D131">
        <v>3</v>
      </c>
      <c r="F131">
        <v>274</v>
      </c>
      <c r="G131">
        <v>0</v>
      </c>
    </row>
    <row r="132" spans="1:7">
      <c r="A132" t="s">
        <v>575</v>
      </c>
      <c r="B132" t="s">
        <v>119</v>
      </c>
      <c r="C132" t="s">
        <v>194</v>
      </c>
      <c r="D132">
        <v>2</v>
      </c>
      <c r="E132">
        <v>25</v>
      </c>
      <c r="F132">
        <v>325</v>
      </c>
      <c r="G132">
        <v>0</v>
      </c>
    </row>
    <row r="133" spans="1:7">
      <c r="A133" t="s">
        <v>576</v>
      </c>
      <c r="B133" t="s">
        <v>121</v>
      </c>
      <c r="C133" t="s">
        <v>194</v>
      </c>
      <c r="D133">
        <v>3</v>
      </c>
      <c r="F133">
        <v>487</v>
      </c>
      <c r="G133">
        <v>0</v>
      </c>
    </row>
    <row r="134" spans="1:7">
      <c r="A134" t="s">
        <v>577</v>
      </c>
      <c r="B134" t="s">
        <v>127</v>
      </c>
      <c r="C134" t="s">
        <v>194</v>
      </c>
      <c r="D134">
        <v>3</v>
      </c>
      <c r="F134">
        <v>487</v>
      </c>
      <c r="G134">
        <v>0</v>
      </c>
    </row>
    <row r="135" spans="1:7">
      <c r="A135" t="s">
        <v>578</v>
      </c>
      <c r="B135" t="s">
        <v>128</v>
      </c>
      <c r="C135" t="s">
        <v>194</v>
      </c>
      <c r="D135">
        <v>3</v>
      </c>
      <c r="F135">
        <v>487</v>
      </c>
      <c r="G135">
        <v>0</v>
      </c>
    </row>
    <row r="136" spans="1:7">
      <c r="A136" t="s">
        <v>579</v>
      </c>
      <c r="B136" t="s">
        <v>126</v>
      </c>
      <c r="C136" t="s">
        <v>194</v>
      </c>
      <c r="D136">
        <v>3</v>
      </c>
      <c r="F136">
        <v>487</v>
      </c>
      <c r="G136">
        <v>0</v>
      </c>
    </row>
    <row r="137" spans="1:7">
      <c r="A137" t="s">
        <v>580</v>
      </c>
      <c r="B137" t="s">
        <v>124</v>
      </c>
      <c r="C137" t="s">
        <v>195</v>
      </c>
      <c r="D137">
        <v>2</v>
      </c>
      <c r="E137">
        <v>18</v>
      </c>
      <c r="F137">
        <v>487</v>
      </c>
      <c r="G137">
        <v>0</v>
      </c>
    </row>
    <row r="138" spans="1:7">
      <c r="A138" t="s">
        <v>581</v>
      </c>
      <c r="B138" t="s">
        <v>129</v>
      </c>
      <c r="C138" t="s">
        <v>201</v>
      </c>
      <c r="D138">
        <v>2</v>
      </c>
      <c r="E138">
        <v>15</v>
      </c>
      <c r="F138">
        <v>487</v>
      </c>
      <c r="G138">
        <v>0</v>
      </c>
    </row>
    <row r="139" spans="1:7">
      <c r="A139" t="s">
        <v>582</v>
      </c>
      <c r="B139" t="s">
        <v>123</v>
      </c>
      <c r="C139" t="s">
        <v>194</v>
      </c>
      <c r="D139">
        <v>3</v>
      </c>
      <c r="F139">
        <v>227</v>
      </c>
      <c r="G139">
        <v>0</v>
      </c>
    </row>
    <row r="140" spans="1:7">
      <c r="A140" t="s">
        <v>583</v>
      </c>
      <c r="B140" t="s">
        <v>122</v>
      </c>
      <c r="C140" t="s">
        <v>194</v>
      </c>
      <c r="D140">
        <v>3</v>
      </c>
      <c r="F140">
        <v>487</v>
      </c>
      <c r="G140">
        <v>0</v>
      </c>
    </row>
    <row r="141" spans="1:7">
      <c r="A141" t="s">
        <v>584</v>
      </c>
      <c r="B141" t="s">
        <v>125</v>
      </c>
      <c r="C141" t="s">
        <v>200</v>
      </c>
      <c r="D141">
        <v>3</v>
      </c>
      <c r="F141">
        <v>487</v>
      </c>
      <c r="G141">
        <v>0</v>
      </c>
    </row>
    <row r="142" spans="1:7">
      <c r="A142" t="s">
        <v>585</v>
      </c>
      <c r="B142" t="s">
        <v>130</v>
      </c>
      <c r="C142" t="s">
        <v>194</v>
      </c>
      <c r="D142">
        <v>3</v>
      </c>
      <c r="F142">
        <v>487</v>
      </c>
      <c r="G142">
        <v>0</v>
      </c>
    </row>
    <row r="143" spans="1:7">
      <c r="A143" t="s">
        <v>586</v>
      </c>
      <c r="B143" t="s">
        <v>133</v>
      </c>
      <c r="C143" t="s">
        <v>194</v>
      </c>
      <c r="D143">
        <v>3</v>
      </c>
      <c r="F143">
        <v>487</v>
      </c>
      <c r="G143">
        <v>0</v>
      </c>
    </row>
    <row r="144" spans="1:7">
      <c r="A144" t="s">
        <v>587</v>
      </c>
      <c r="B144" t="s">
        <v>136</v>
      </c>
      <c r="C144" t="s">
        <v>194</v>
      </c>
      <c r="D144">
        <v>3</v>
      </c>
      <c r="F144">
        <v>487</v>
      </c>
      <c r="G144">
        <v>0</v>
      </c>
    </row>
    <row r="145" spans="1:7">
      <c r="A145" t="s">
        <v>588</v>
      </c>
      <c r="B145" t="s">
        <v>134</v>
      </c>
      <c r="C145" t="s">
        <v>194</v>
      </c>
      <c r="D145">
        <v>3</v>
      </c>
      <c r="F145">
        <v>487</v>
      </c>
      <c r="G145">
        <v>0</v>
      </c>
    </row>
    <row r="146" spans="1:7">
      <c r="A146" t="s">
        <v>589</v>
      </c>
      <c r="B146" t="s">
        <v>137</v>
      </c>
      <c r="C146" t="s">
        <v>194</v>
      </c>
      <c r="D146">
        <v>3</v>
      </c>
      <c r="F146">
        <v>487</v>
      </c>
      <c r="G146">
        <v>0</v>
      </c>
    </row>
    <row r="147" spans="1:7">
      <c r="A147" t="s">
        <v>590</v>
      </c>
      <c r="B147" t="s">
        <v>131</v>
      </c>
      <c r="C147" t="s">
        <v>194</v>
      </c>
      <c r="D147">
        <v>2</v>
      </c>
      <c r="E147">
        <v>24</v>
      </c>
      <c r="F147">
        <v>231</v>
      </c>
      <c r="G147">
        <v>0</v>
      </c>
    </row>
    <row r="148" spans="1:7">
      <c r="A148" t="s">
        <v>591</v>
      </c>
      <c r="B148" t="s">
        <v>138</v>
      </c>
      <c r="C148" t="s">
        <v>195</v>
      </c>
      <c r="D148">
        <v>2</v>
      </c>
      <c r="E148">
        <v>28</v>
      </c>
      <c r="F148">
        <v>487</v>
      </c>
      <c r="G148">
        <v>0</v>
      </c>
    </row>
    <row r="149" spans="1:7">
      <c r="A149" t="s">
        <v>592</v>
      </c>
      <c r="B149" t="s">
        <v>655</v>
      </c>
      <c r="C149" t="s">
        <v>194</v>
      </c>
      <c r="D149">
        <v>2</v>
      </c>
      <c r="E149">
        <v>29</v>
      </c>
      <c r="F149">
        <v>487</v>
      </c>
      <c r="G149">
        <v>0</v>
      </c>
    </row>
    <row r="150" spans="1:7">
      <c r="A150" t="s">
        <v>593</v>
      </c>
      <c r="B150" t="s">
        <v>139</v>
      </c>
      <c r="C150" t="s">
        <v>195</v>
      </c>
      <c r="D150">
        <v>2</v>
      </c>
      <c r="E150">
        <v>25</v>
      </c>
      <c r="F150">
        <v>487</v>
      </c>
      <c r="G150">
        <v>0</v>
      </c>
    </row>
    <row r="151" spans="1:7">
      <c r="A151" t="s">
        <v>594</v>
      </c>
      <c r="B151" t="s">
        <v>132</v>
      </c>
      <c r="C151" t="s">
        <v>194</v>
      </c>
      <c r="D151">
        <v>3</v>
      </c>
      <c r="F151">
        <v>487</v>
      </c>
      <c r="G151">
        <v>0</v>
      </c>
    </row>
    <row r="152" spans="1:7">
      <c r="A152" t="s">
        <v>595</v>
      </c>
      <c r="B152" t="s">
        <v>135</v>
      </c>
      <c r="C152" t="s">
        <v>194</v>
      </c>
      <c r="D152">
        <v>3</v>
      </c>
      <c r="F152">
        <v>487</v>
      </c>
      <c r="G152">
        <v>0</v>
      </c>
    </row>
    <row r="153" spans="1:7">
      <c r="A153" t="s">
        <v>596</v>
      </c>
      <c r="B153" t="s">
        <v>140</v>
      </c>
      <c r="C153" t="s">
        <v>194</v>
      </c>
      <c r="D153">
        <v>2</v>
      </c>
      <c r="E153">
        <v>29</v>
      </c>
      <c r="F153">
        <v>487</v>
      </c>
      <c r="G153">
        <v>0</v>
      </c>
    </row>
    <row r="154" spans="1:7">
      <c r="A154" t="s">
        <v>597</v>
      </c>
      <c r="B154" t="s">
        <v>141</v>
      </c>
      <c r="C154" t="s">
        <v>195</v>
      </c>
      <c r="D154">
        <v>2</v>
      </c>
      <c r="E154">
        <v>24</v>
      </c>
      <c r="F154">
        <v>487</v>
      </c>
      <c r="G154">
        <v>0</v>
      </c>
    </row>
    <row r="155" spans="1:7">
      <c r="A155" t="s">
        <v>598</v>
      </c>
      <c r="B155" t="s">
        <v>151</v>
      </c>
      <c r="C155" t="s">
        <v>195</v>
      </c>
      <c r="D155">
        <v>2</v>
      </c>
      <c r="E155">
        <v>22</v>
      </c>
      <c r="F155">
        <v>487</v>
      </c>
      <c r="G155">
        <v>0</v>
      </c>
    </row>
    <row r="156" spans="1:7">
      <c r="A156" t="s">
        <v>599</v>
      </c>
      <c r="B156" t="s">
        <v>656</v>
      </c>
      <c r="C156" t="s">
        <v>195</v>
      </c>
      <c r="D156">
        <v>3</v>
      </c>
      <c r="F156">
        <v>487</v>
      </c>
      <c r="G156">
        <v>0</v>
      </c>
    </row>
    <row r="157" spans="1:7">
      <c r="A157" t="s">
        <v>600</v>
      </c>
      <c r="B157" t="s">
        <v>142</v>
      </c>
      <c r="C157" t="s">
        <v>194</v>
      </c>
      <c r="D157">
        <v>3</v>
      </c>
      <c r="F157">
        <v>487</v>
      </c>
      <c r="G157">
        <v>0</v>
      </c>
    </row>
    <row r="158" spans="1:7">
      <c r="A158" t="s">
        <v>601</v>
      </c>
      <c r="B158" t="s">
        <v>149</v>
      </c>
      <c r="C158" t="s">
        <v>194</v>
      </c>
      <c r="D158">
        <v>2</v>
      </c>
      <c r="E158">
        <v>24</v>
      </c>
      <c r="F158">
        <v>487</v>
      </c>
      <c r="G158">
        <v>0</v>
      </c>
    </row>
    <row r="159" spans="1:7">
      <c r="A159" t="s">
        <v>602</v>
      </c>
      <c r="B159" t="s">
        <v>157</v>
      </c>
      <c r="C159" t="s">
        <v>194</v>
      </c>
      <c r="D159">
        <v>3</v>
      </c>
      <c r="F159">
        <v>487</v>
      </c>
      <c r="G159">
        <v>0</v>
      </c>
    </row>
    <row r="160" spans="1:7">
      <c r="A160" t="s">
        <v>603</v>
      </c>
      <c r="B160" t="s">
        <v>152</v>
      </c>
      <c r="C160" t="s">
        <v>194</v>
      </c>
      <c r="D160">
        <v>3</v>
      </c>
      <c r="F160">
        <v>487</v>
      </c>
      <c r="G160">
        <v>0</v>
      </c>
    </row>
    <row r="161" spans="1:7">
      <c r="A161" t="s">
        <v>604</v>
      </c>
      <c r="B161" t="s">
        <v>163</v>
      </c>
      <c r="C161" t="s">
        <v>194</v>
      </c>
      <c r="D161">
        <v>3</v>
      </c>
      <c r="F161">
        <v>487</v>
      </c>
      <c r="G161">
        <v>0</v>
      </c>
    </row>
    <row r="162" spans="1:7">
      <c r="A162" t="s">
        <v>605</v>
      </c>
      <c r="B162" t="s">
        <v>166</v>
      </c>
      <c r="C162" t="s">
        <v>202</v>
      </c>
      <c r="D162">
        <v>2</v>
      </c>
      <c r="E162">
        <v>24</v>
      </c>
      <c r="F162">
        <v>487</v>
      </c>
      <c r="G162">
        <v>0</v>
      </c>
    </row>
    <row r="163" spans="1:7">
      <c r="A163" t="s">
        <v>606</v>
      </c>
      <c r="B163" t="s">
        <v>154</v>
      </c>
      <c r="C163" t="s">
        <v>194</v>
      </c>
      <c r="D163">
        <v>3</v>
      </c>
      <c r="F163">
        <v>487</v>
      </c>
      <c r="G163">
        <v>0</v>
      </c>
    </row>
    <row r="164" spans="1:7">
      <c r="A164" t="s">
        <v>607</v>
      </c>
      <c r="B164" t="s">
        <v>156</v>
      </c>
      <c r="C164" t="s">
        <v>195</v>
      </c>
      <c r="D164">
        <v>2</v>
      </c>
      <c r="E164">
        <v>19</v>
      </c>
      <c r="F164">
        <v>487</v>
      </c>
      <c r="G164">
        <v>0</v>
      </c>
    </row>
    <row r="165" spans="1:7">
      <c r="A165" t="s">
        <v>608</v>
      </c>
      <c r="B165" t="s">
        <v>155</v>
      </c>
      <c r="C165" t="s">
        <v>195</v>
      </c>
      <c r="D165">
        <v>2</v>
      </c>
      <c r="E165">
        <v>24</v>
      </c>
      <c r="F165">
        <v>345</v>
      </c>
      <c r="G165">
        <v>0</v>
      </c>
    </row>
    <row r="166" spans="1:7">
      <c r="A166" t="s">
        <v>609</v>
      </c>
      <c r="B166" t="s">
        <v>153</v>
      </c>
      <c r="C166" t="s">
        <v>194</v>
      </c>
      <c r="D166">
        <v>3</v>
      </c>
      <c r="F166">
        <v>487</v>
      </c>
      <c r="G166">
        <v>0</v>
      </c>
    </row>
    <row r="167" spans="1:7">
      <c r="A167" t="s">
        <v>610</v>
      </c>
      <c r="B167" t="s">
        <v>147</v>
      </c>
      <c r="C167" t="s">
        <v>195</v>
      </c>
      <c r="D167">
        <v>2</v>
      </c>
      <c r="E167">
        <v>27</v>
      </c>
      <c r="F167">
        <v>487</v>
      </c>
      <c r="G167">
        <v>0</v>
      </c>
    </row>
    <row r="168" spans="1:7">
      <c r="A168" t="s">
        <v>611</v>
      </c>
      <c r="B168" t="s">
        <v>150</v>
      </c>
      <c r="C168" t="s">
        <v>194</v>
      </c>
      <c r="D168">
        <v>2</v>
      </c>
      <c r="E168">
        <v>28</v>
      </c>
      <c r="F168">
        <v>487</v>
      </c>
      <c r="G168">
        <v>0</v>
      </c>
    </row>
    <row r="169" spans="1:7">
      <c r="A169" t="s">
        <v>612</v>
      </c>
      <c r="B169" t="s">
        <v>158</v>
      </c>
      <c r="C169" t="s">
        <v>194</v>
      </c>
      <c r="D169">
        <v>3</v>
      </c>
      <c r="F169">
        <v>487</v>
      </c>
      <c r="G169">
        <v>0</v>
      </c>
    </row>
    <row r="170" spans="1:7">
      <c r="A170" t="s">
        <v>613</v>
      </c>
      <c r="B170" t="s">
        <v>164</v>
      </c>
      <c r="C170" t="s">
        <v>194</v>
      </c>
      <c r="D170">
        <v>3</v>
      </c>
      <c r="F170">
        <v>487</v>
      </c>
      <c r="G170">
        <v>0</v>
      </c>
    </row>
    <row r="171" spans="1:7">
      <c r="A171" t="s">
        <v>614</v>
      </c>
      <c r="B171" t="s">
        <v>160</v>
      </c>
      <c r="C171" t="s">
        <v>194</v>
      </c>
      <c r="D171">
        <v>3</v>
      </c>
      <c r="F171">
        <v>487</v>
      </c>
      <c r="G171">
        <v>0</v>
      </c>
    </row>
    <row r="172" spans="1:7">
      <c r="A172" t="s">
        <v>615</v>
      </c>
      <c r="B172" t="s">
        <v>148</v>
      </c>
      <c r="C172" t="s">
        <v>194</v>
      </c>
      <c r="D172">
        <v>2</v>
      </c>
      <c r="E172">
        <v>25</v>
      </c>
      <c r="F172">
        <v>487</v>
      </c>
      <c r="G172">
        <v>0</v>
      </c>
    </row>
    <row r="173" spans="1:7">
      <c r="A173" t="s">
        <v>616</v>
      </c>
      <c r="B173" t="s">
        <v>56</v>
      </c>
      <c r="C173" t="s">
        <v>194</v>
      </c>
      <c r="D173">
        <v>3</v>
      </c>
      <c r="F173">
        <v>487</v>
      </c>
      <c r="G173">
        <v>0</v>
      </c>
    </row>
    <row r="174" spans="1:7">
      <c r="A174" t="s">
        <v>617</v>
      </c>
      <c r="B174" t="s">
        <v>657</v>
      </c>
      <c r="C174" t="s">
        <v>194</v>
      </c>
      <c r="D174">
        <v>3</v>
      </c>
      <c r="F174">
        <v>487</v>
      </c>
      <c r="G174">
        <v>0</v>
      </c>
    </row>
    <row r="175" spans="1:7">
      <c r="A175" t="s">
        <v>618</v>
      </c>
      <c r="B175" t="s">
        <v>165</v>
      </c>
      <c r="C175" t="s">
        <v>194</v>
      </c>
      <c r="D175">
        <v>3</v>
      </c>
      <c r="F175">
        <v>487</v>
      </c>
      <c r="G175">
        <v>0</v>
      </c>
    </row>
    <row r="176" spans="1:7">
      <c r="A176" t="s">
        <v>619</v>
      </c>
      <c r="B176" t="s">
        <v>38</v>
      </c>
      <c r="C176" t="s">
        <v>194</v>
      </c>
      <c r="D176">
        <v>3</v>
      </c>
      <c r="F176">
        <v>487</v>
      </c>
      <c r="G176">
        <v>0</v>
      </c>
    </row>
    <row r="177" spans="1:7">
      <c r="A177" t="s">
        <v>620</v>
      </c>
      <c r="B177" t="s">
        <v>171</v>
      </c>
      <c r="C177" t="s">
        <v>194</v>
      </c>
      <c r="D177">
        <v>3</v>
      </c>
      <c r="F177">
        <v>487</v>
      </c>
      <c r="G177">
        <v>0</v>
      </c>
    </row>
    <row r="178" spans="1:7">
      <c r="A178" t="s">
        <v>621</v>
      </c>
      <c r="B178" t="s">
        <v>169</v>
      </c>
      <c r="C178" t="s">
        <v>194</v>
      </c>
      <c r="D178">
        <v>3</v>
      </c>
      <c r="F178">
        <v>334</v>
      </c>
      <c r="G178">
        <v>0</v>
      </c>
    </row>
    <row r="179" spans="1:7">
      <c r="A179" t="s">
        <v>622</v>
      </c>
      <c r="B179" t="s">
        <v>168</v>
      </c>
      <c r="C179" t="s">
        <v>194</v>
      </c>
      <c r="D179">
        <v>3</v>
      </c>
      <c r="F179">
        <v>487</v>
      </c>
      <c r="G179">
        <v>0</v>
      </c>
    </row>
    <row r="180" spans="1:7">
      <c r="A180" t="s">
        <v>623</v>
      </c>
      <c r="B180" t="s">
        <v>170</v>
      </c>
      <c r="C180" t="s">
        <v>194</v>
      </c>
      <c r="D180">
        <v>3</v>
      </c>
      <c r="F180">
        <v>487</v>
      </c>
      <c r="G180">
        <v>0</v>
      </c>
    </row>
    <row r="181" spans="1:7">
      <c r="A181" t="s">
        <v>624</v>
      </c>
      <c r="B181" t="s">
        <v>176</v>
      </c>
      <c r="C181" t="s">
        <v>194</v>
      </c>
      <c r="D181">
        <v>3</v>
      </c>
      <c r="F181">
        <v>487</v>
      </c>
      <c r="G181">
        <v>0</v>
      </c>
    </row>
    <row r="182" spans="1:7">
      <c r="A182" t="s">
        <v>625</v>
      </c>
      <c r="B182" t="s">
        <v>174</v>
      </c>
      <c r="C182" t="s">
        <v>194</v>
      </c>
      <c r="D182">
        <v>2</v>
      </c>
      <c r="E182">
        <v>24</v>
      </c>
      <c r="F182">
        <v>384</v>
      </c>
      <c r="G182">
        <v>0</v>
      </c>
    </row>
    <row r="183" spans="1:7">
      <c r="A183" t="s">
        <v>626</v>
      </c>
      <c r="B183" t="s">
        <v>172</v>
      </c>
      <c r="C183" t="s">
        <v>194</v>
      </c>
      <c r="D183">
        <v>3</v>
      </c>
      <c r="F183">
        <v>487</v>
      </c>
      <c r="G183">
        <v>0</v>
      </c>
    </row>
    <row r="184" spans="1:7">
      <c r="A184" t="s">
        <v>627</v>
      </c>
      <c r="B184" t="s">
        <v>175</v>
      </c>
      <c r="C184" t="s">
        <v>195</v>
      </c>
      <c r="D184">
        <v>2</v>
      </c>
      <c r="E184">
        <v>26</v>
      </c>
      <c r="F184">
        <v>487</v>
      </c>
      <c r="G184">
        <v>0</v>
      </c>
    </row>
    <row r="185" spans="1:7">
      <c r="A185" t="s">
        <v>628</v>
      </c>
      <c r="B185" t="s">
        <v>173</v>
      </c>
      <c r="C185" t="s">
        <v>194</v>
      </c>
      <c r="D185">
        <v>3</v>
      </c>
      <c r="F185">
        <v>487</v>
      </c>
      <c r="G185">
        <v>0</v>
      </c>
    </row>
    <row r="186" spans="1:7">
      <c r="A186" t="s">
        <v>629</v>
      </c>
      <c r="B186" t="s">
        <v>177</v>
      </c>
      <c r="C186" t="s">
        <v>194</v>
      </c>
      <c r="D186">
        <v>3</v>
      </c>
      <c r="F186">
        <v>487</v>
      </c>
      <c r="G186">
        <v>0</v>
      </c>
    </row>
    <row r="187" spans="1:7">
      <c r="A187" t="s">
        <v>630</v>
      </c>
      <c r="B187" t="s">
        <v>658</v>
      </c>
      <c r="C187" t="s">
        <v>194</v>
      </c>
      <c r="D187">
        <v>3</v>
      </c>
      <c r="F187">
        <v>487</v>
      </c>
      <c r="G187">
        <v>0</v>
      </c>
    </row>
    <row r="188" spans="1:7">
      <c r="A188" t="s">
        <v>631</v>
      </c>
      <c r="B188" t="s">
        <v>659</v>
      </c>
      <c r="C188" t="s">
        <v>194</v>
      </c>
      <c r="D188">
        <v>3</v>
      </c>
      <c r="F188">
        <v>487</v>
      </c>
      <c r="G188">
        <v>0</v>
      </c>
    </row>
    <row r="189" spans="1:7">
      <c r="A189" t="s">
        <v>632</v>
      </c>
      <c r="B189" t="s">
        <v>179</v>
      </c>
      <c r="C189" t="s">
        <v>195</v>
      </c>
      <c r="D189">
        <v>2</v>
      </c>
      <c r="E189">
        <v>29</v>
      </c>
      <c r="F189">
        <v>487</v>
      </c>
      <c r="G189">
        <v>0</v>
      </c>
    </row>
    <row r="190" spans="1:7">
      <c r="A190" t="s">
        <v>633</v>
      </c>
      <c r="B190" t="s">
        <v>178</v>
      </c>
      <c r="C190" t="s">
        <v>194</v>
      </c>
      <c r="D190">
        <v>3</v>
      </c>
      <c r="F190">
        <v>487</v>
      </c>
      <c r="G190">
        <v>0</v>
      </c>
    </row>
    <row r="191" spans="1:7">
      <c r="A191" t="s">
        <v>634</v>
      </c>
      <c r="B191" t="s">
        <v>182</v>
      </c>
      <c r="C191" t="s">
        <v>194</v>
      </c>
      <c r="D191">
        <v>4</v>
      </c>
      <c r="F191">
        <v>487</v>
      </c>
      <c r="G191">
        <v>0</v>
      </c>
    </row>
    <row r="192" spans="1:7">
      <c r="A192" t="s">
        <v>635</v>
      </c>
      <c r="B192" t="s">
        <v>183</v>
      </c>
      <c r="C192" t="s">
        <v>194</v>
      </c>
      <c r="D192">
        <v>3</v>
      </c>
      <c r="F192">
        <v>487</v>
      </c>
      <c r="G192">
        <v>0</v>
      </c>
    </row>
    <row r="193" spans="1:8">
      <c r="A193" t="s">
        <v>636</v>
      </c>
      <c r="B193" t="s">
        <v>184</v>
      </c>
      <c r="C193" t="s">
        <v>194</v>
      </c>
      <c r="D193">
        <v>3</v>
      </c>
      <c r="F193">
        <v>487</v>
      </c>
      <c r="G193">
        <v>0</v>
      </c>
    </row>
    <row r="194" spans="1:8">
      <c r="A194" t="s">
        <v>637</v>
      </c>
      <c r="B194" t="s">
        <v>660</v>
      </c>
      <c r="C194" t="s">
        <v>195</v>
      </c>
      <c r="D194">
        <v>3</v>
      </c>
      <c r="F194">
        <v>487</v>
      </c>
      <c r="G194">
        <v>0</v>
      </c>
    </row>
    <row r="195" spans="1:8">
      <c r="A195" t="s">
        <v>638</v>
      </c>
      <c r="B195" t="s">
        <v>145</v>
      </c>
      <c r="C195" t="s">
        <v>194</v>
      </c>
      <c r="D195">
        <v>3</v>
      </c>
      <c r="F195">
        <v>487</v>
      </c>
      <c r="G195">
        <v>0</v>
      </c>
    </row>
    <row r="196" spans="1:8">
      <c r="A196" t="s">
        <v>639</v>
      </c>
      <c r="B196" t="s">
        <v>661</v>
      </c>
      <c r="C196" t="s">
        <v>194</v>
      </c>
      <c r="D196">
        <v>3</v>
      </c>
      <c r="F196">
        <v>487</v>
      </c>
      <c r="G196">
        <v>0</v>
      </c>
    </row>
    <row r="197" spans="1:8">
      <c r="A197" t="s">
        <v>640</v>
      </c>
      <c r="B197" t="s">
        <v>186</v>
      </c>
      <c r="C197" t="s">
        <v>194</v>
      </c>
      <c r="D197">
        <v>3</v>
      </c>
      <c r="F197">
        <v>487</v>
      </c>
      <c r="G197">
        <v>0</v>
      </c>
    </row>
    <row r="198" spans="1:8">
      <c r="A198" t="s">
        <v>641</v>
      </c>
      <c r="B198" t="s">
        <v>185</v>
      </c>
      <c r="C198" t="s">
        <v>194</v>
      </c>
      <c r="D198">
        <v>3</v>
      </c>
      <c r="F198">
        <v>487</v>
      </c>
      <c r="G198">
        <v>0</v>
      </c>
    </row>
    <row r="199" spans="1:8">
      <c r="A199" t="s">
        <v>642</v>
      </c>
      <c r="B199" t="s">
        <v>146</v>
      </c>
      <c r="C199" t="s">
        <v>194</v>
      </c>
      <c r="D199">
        <v>3</v>
      </c>
      <c r="F199">
        <v>487</v>
      </c>
      <c r="G199">
        <v>0</v>
      </c>
    </row>
    <row r="200" spans="1:8">
      <c r="A200" t="s">
        <v>643</v>
      </c>
      <c r="B200" t="s">
        <v>188</v>
      </c>
      <c r="C200" t="s">
        <v>194</v>
      </c>
      <c r="D200">
        <v>3</v>
      </c>
      <c r="F200">
        <v>487</v>
      </c>
      <c r="G200">
        <v>0</v>
      </c>
    </row>
    <row r="201" spans="1:8">
      <c r="A201" t="s">
        <v>644</v>
      </c>
      <c r="B201" t="s">
        <v>159</v>
      </c>
      <c r="C201" t="s">
        <v>194</v>
      </c>
      <c r="D201">
        <v>3</v>
      </c>
      <c r="F201">
        <v>269</v>
      </c>
      <c r="G201">
        <v>0</v>
      </c>
    </row>
    <row r="202" spans="1:8">
      <c r="A202" t="s">
        <v>645</v>
      </c>
      <c r="B202" t="s">
        <v>189</v>
      </c>
      <c r="C202" t="s">
        <v>194</v>
      </c>
      <c r="D202">
        <v>3</v>
      </c>
      <c r="F202">
        <v>370</v>
      </c>
      <c r="G202">
        <v>0</v>
      </c>
    </row>
    <row r="203" spans="1:8">
      <c r="A203" t="s">
        <v>646</v>
      </c>
      <c r="B203" t="s">
        <v>190</v>
      </c>
      <c r="C203" t="s">
        <v>194</v>
      </c>
      <c r="D203">
        <v>3</v>
      </c>
      <c r="F203">
        <v>279</v>
      </c>
      <c r="G203">
        <v>0</v>
      </c>
    </row>
    <row r="204" spans="1:8">
      <c r="A204" t="s">
        <v>677</v>
      </c>
      <c r="B204" t="s">
        <v>678</v>
      </c>
      <c r="C204" t="s">
        <v>195</v>
      </c>
      <c r="D204">
        <v>2</v>
      </c>
      <c r="E204">
        <v>20</v>
      </c>
      <c r="H204" s="117"/>
    </row>
    <row r="205" spans="1:8">
      <c r="A205" s="116" t="s">
        <v>668</v>
      </c>
      <c r="G205">
        <v>0</v>
      </c>
      <c r="H205" s="117"/>
    </row>
  </sheetData>
  <pageMargins left="0.7" right="0.7" top="0.75" bottom="0.75" header="0.3" footer="0.3"/>
  <pageSetup paperSize="9" orientation="portrait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5E0046307B90624DB8A878BEAC39E309" ma:contentTypeVersion="2" ma:contentTypeDescription="Opret et nyt dokument." ma:contentTypeScope="" ma:versionID="2498198eb0f9489191a0a75b33621d5c">
  <xsd:schema xmlns:xsd="http://www.w3.org/2001/XMLSchema" xmlns:xs="http://www.w3.org/2001/XMLSchema" xmlns:p="http://schemas.microsoft.com/office/2006/metadata/properties" xmlns:ns2="f3b4e847-2f27-4d7d-be51-181ac8fe836f" targetNamespace="http://schemas.microsoft.com/office/2006/metadata/properties" ma:root="true" ma:fieldsID="1001175b8f5cc5dcc4216db2dd83a7bb" ns2:_="">
    <xsd:import namespace="f3b4e847-2f27-4d7d-be51-181ac8fe836f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b4e847-2f27-4d7d-be51-181ac8fe836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Delt med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C0F3B4F-71C4-448A-A61B-5989D41731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3b4e847-2f27-4d7d-be51-181ac8fe83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083940F-72F2-4DDD-87A8-1A45C0EAA86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f3b4e847-2f27-4d7d-be51-181ac8fe836f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CD13B07-CA77-43CE-B8B7-A6C84141168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</vt:i4>
      </vt:variant>
    </vt:vector>
  </HeadingPairs>
  <TitlesOfParts>
    <vt:vector size="37" baseType="lpstr">
      <vt:lpstr>Form</vt:lpstr>
      <vt:lpstr>Data</vt:lpstr>
      <vt:lpstr>Allcountries</vt:lpstr>
      <vt:lpstr>Banklocation</vt:lpstr>
      <vt:lpstr>Birthyear</vt:lpstr>
      <vt:lpstr>Breakfastnumber</vt:lpstr>
      <vt:lpstr>Country_Code</vt:lpstr>
      <vt:lpstr>Countrylist</vt:lpstr>
      <vt:lpstr>Countryresidence</vt:lpstr>
      <vt:lpstr>Countryvisit</vt:lpstr>
      <vt:lpstr>Currencies</vt:lpstr>
      <vt:lpstr>Day</vt:lpstr>
      <vt:lpstr>Depday</vt:lpstr>
      <vt:lpstr>Dephou</vt:lpstr>
      <vt:lpstr>Depmin</vt:lpstr>
      <vt:lpstr>Depmon</vt:lpstr>
      <vt:lpstr>Depyea</vt:lpstr>
      <vt:lpstr>Dinnernumber</vt:lpstr>
      <vt:lpstr>Hour</vt:lpstr>
      <vt:lpstr>kmrate</vt:lpstr>
      <vt:lpstr>Lunchnumber</vt:lpstr>
      <vt:lpstr>Mealreduc</vt:lpstr>
      <vt:lpstr>Minute</vt:lpstr>
      <vt:lpstr>Month</vt:lpstr>
      <vt:lpstr>Form!Print_Area</vt:lpstr>
      <vt:lpstr>Reducrate</vt:lpstr>
      <vt:lpstr>Retday</vt:lpstr>
      <vt:lpstr>Rethou</vt:lpstr>
      <vt:lpstr>Retmin</vt:lpstr>
      <vt:lpstr>Retmon</vt:lpstr>
      <vt:lpstr>Retyea</vt:lpstr>
      <vt:lpstr>tdornot</vt:lpstr>
      <vt:lpstr>Travelyear</vt:lpstr>
      <vt:lpstr>Tripduration</vt:lpstr>
      <vt:lpstr>Udoknat</vt:lpstr>
      <vt:lpstr>Undeclared</vt:lpstr>
      <vt:lpstr>Valutakurser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Helle Norup</dc:creator>
  <cp:lastModifiedBy>Christian Igel</cp:lastModifiedBy>
  <cp:lastPrinted>2020-03-27T14:02:00Z</cp:lastPrinted>
  <dcterms:created xsi:type="dcterms:W3CDTF">2014-09-18T16:18:09Z</dcterms:created>
  <dcterms:modified xsi:type="dcterms:W3CDTF">2022-03-18T09:42:55Z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0x0101005E0046307B90624DB8A878BEAC39E309</vt:lpwstr>
  </property>
</Properties>
</file>